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ubc_store\"/>
    </mc:Choice>
  </mc:AlternateContent>
  <xr:revisionPtr revIDLastSave="0" documentId="13_ncr:1_{B5D27AD6-2AF3-4E50-B96C-0D2F6959080C}" xr6:coauthVersionLast="47" xr6:coauthVersionMax="47" xr10:uidLastSave="{00000000-0000-0000-0000-000000000000}"/>
  <bookViews>
    <workbookView xWindow="-110" yWindow="-110" windowWidth="19420" windowHeight="10300" firstSheet="2" activeTab="6" xr2:uid="{3136F01C-DAD3-4E5C-84EB-DB773AC44867}"/>
  </bookViews>
  <sheets>
    <sheet name="D_Clients" sheetId="1" r:id="rId1"/>
    <sheet name="D_Fournisseurs" sheetId="4" r:id="rId2"/>
    <sheet name="D_Produits" sheetId="2" r:id="rId3"/>
    <sheet name="D_Temps" sheetId="3" r:id="rId4"/>
    <sheet name="F_Commandes" sheetId="5" r:id="rId5"/>
    <sheet name="Bon_de_commande" sheetId="8" r:id="rId6"/>
    <sheet name="Bon_Livraisons" sheetId="9" r:id="rId7"/>
    <sheet name="F_Ventes" sheetId="6" r:id="rId8"/>
    <sheet name="Configuration" sheetId="7" r:id="rId9"/>
  </sheets>
  <definedNames>
    <definedName name="Clients">D_Clients!#REF!</definedName>
    <definedName name="Commandes">Tableau5[ID Commande]</definedName>
    <definedName name="Date">D_Clients!#REF!</definedName>
    <definedName name="Dates">D_Temps!$C$5:$C$369</definedName>
    <definedName name="Fournisseurs">D_Fournisseurs!$C$5:$C$27</definedName>
    <definedName name="liste">D_Temps!#REF!</definedName>
    <definedName name="Liste_Clients">D_Clients!#REF!</definedName>
    <definedName name="liste_date">D_Temps!#REF!</definedName>
    <definedName name="Noms_produits">Tableau3[Nom Produit]</definedName>
    <definedName name="Produits">D_Produits!$C$6:$C$32</definedName>
    <definedName name="Tab_Clients">Tableau1[]</definedName>
    <definedName name="Tab_Commande">Tableau5[]</definedName>
    <definedName name="Tab_Commandes">Tableau5[]</definedName>
    <definedName name="Tab_Dates">Tableau4[]</definedName>
    <definedName name="Tab_Fournisseur">Tableau2[]</definedName>
    <definedName name="Tab_Produits">Tableau3[]</definedName>
    <definedName name="Tab_Ventes">Tableau6[]</definedName>
    <definedName name="_xlnm.Print_Area" localSheetId="5">Bon_de_commande!$B$3:$G$50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5" l="1"/>
  <c r="L7" i="5"/>
  <c r="M7" i="5"/>
  <c r="I8" i="9"/>
  <c r="G7" i="9"/>
  <c r="G8" i="9"/>
  <c r="H33" i="5"/>
  <c r="L33" i="5"/>
  <c r="M33" i="5"/>
  <c r="H32" i="5"/>
  <c r="L32" i="5"/>
  <c r="M32" i="5"/>
  <c r="L31" i="5"/>
  <c r="M31" i="5"/>
  <c r="L30" i="5"/>
  <c r="M30" i="5"/>
  <c r="L29" i="5"/>
  <c r="M29" i="5"/>
  <c r="L28" i="5"/>
  <c r="M28" i="5"/>
  <c r="L27" i="5"/>
  <c r="M27" i="5"/>
  <c r="C17" i="8"/>
  <c r="C18" i="8"/>
  <c r="C19" i="8"/>
  <c r="C20" i="8"/>
  <c r="C16" i="8"/>
  <c r="G48" i="8"/>
  <c r="G29" i="8" a="1"/>
  <c r="G29" i="8" s="1"/>
  <c r="G30" i="8" a="1"/>
  <c r="G30" i="8" s="1"/>
  <c r="G31" i="8" a="1"/>
  <c r="G31" i="8" s="1"/>
  <c r="G32" i="8" a="1"/>
  <c r="G32" i="8" s="1"/>
  <c r="G33" i="8" a="1"/>
  <c r="G33" i="8" s="1"/>
  <c r="G34" i="8" a="1"/>
  <c r="G34" i="8" s="1"/>
  <c r="G35" i="8" a="1"/>
  <c r="G35" i="8" s="1"/>
  <c r="G36" i="8" a="1"/>
  <c r="G36" i="8" s="1"/>
  <c r="G37" i="8" a="1"/>
  <c r="G37" i="8" s="1"/>
  <c r="G38" i="8" a="1"/>
  <c r="G38" i="8" s="1"/>
  <c r="G39" i="8" a="1"/>
  <c r="G39" i="8" s="1"/>
  <c r="G40" i="8" a="1"/>
  <c r="G40" i="8" s="1"/>
  <c r="G41" i="8" a="1"/>
  <c r="G41" i="8" s="1"/>
  <c r="G42" i="8" a="1"/>
  <c r="G42" i="8" s="1"/>
  <c r="G43" i="8" a="1"/>
  <c r="G43" i="8" s="1"/>
  <c r="G44" i="8" a="1"/>
  <c r="G44" i="8" s="1"/>
  <c r="L26" i="5"/>
  <c r="M26" i="5"/>
  <c r="L25" i="5"/>
  <c r="M25" i="5"/>
  <c r="L24" i="5"/>
  <c r="M24" i="5"/>
  <c r="L23" i="5"/>
  <c r="M23" i="5"/>
  <c r="L22" i="5"/>
  <c r="M22" i="5"/>
  <c r="L6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K25" i="2"/>
  <c r="K24" i="2"/>
  <c r="K23" i="2"/>
  <c r="K22" i="2"/>
  <c r="D7" i="7"/>
  <c r="D8" i="7"/>
  <c r="D9" i="7"/>
  <c r="D10" i="7"/>
  <c r="D6" i="7"/>
  <c r="D367" i="3"/>
  <c r="E367" i="3"/>
  <c r="F367" i="3"/>
  <c r="G367" i="3"/>
  <c r="H367" i="3"/>
  <c r="D368" i="3"/>
  <c r="E368" i="3"/>
  <c r="F368" i="3"/>
  <c r="G368" i="3"/>
  <c r="H368" i="3"/>
  <c r="D369" i="3"/>
  <c r="E369" i="3"/>
  <c r="F369" i="3"/>
  <c r="G369" i="3"/>
  <c r="H369" i="3"/>
  <c r="D342" i="3"/>
  <c r="E342" i="3"/>
  <c r="F342" i="3"/>
  <c r="G342" i="3"/>
  <c r="H342" i="3"/>
  <c r="D343" i="3"/>
  <c r="E343" i="3"/>
  <c r="F343" i="3"/>
  <c r="G343" i="3"/>
  <c r="H343" i="3"/>
  <c r="D344" i="3"/>
  <c r="E344" i="3"/>
  <c r="F344" i="3"/>
  <c r="G344" i="3"/>
  <c r="H344" i="3"/>
  <c r="D345" i="3"/>
  <c r="E345" i="3"/>
  <c r="F345" i="3"/>
  <c r="G345" i="3"/>
  <c r="H345" i="3"/>
  <c r="D346" i="3"/>
  <c r="E346" i="3"/>
  <c r="F346" i="3"/>
  <c r="G346" i="3"/>
  <c r="H346" i="3"/>
  <c r="D347" i="3"/>
  <c r="E347" i="3"/>
  <c r="F347" i="3"/>
  <c r="G347" i="3"/>
  <c r="H347" i="3"/>
  <c r="D348" i="3"/>
  <c r="E348" i="3"/>
  <c r="F348" i="3"/>
  <c r="G348" i="3"/>
  <c r="H348" i="3"/>
  <c r="D349" i="3"/>
  <c r="E349" i="3"/>
  <c r="F349" i="3"/>
  <c r="G349" i="3"/>
  <c r="H349" i="3"/>
  <c r="D350" i="3"/>
  <c r="E350" i="3"/>
  <c r="F350" i="3"/>
  <c r="G350" i="3"/>
  <c r="H350" i="3"/>
  <c r="D351" i="3"/>
  <c r="E351" i="3"/>
  <c r="F351" i="3"/>
  <c r="G351" i="3"/>
  <c r="H351" i="3"/>
  <c r="D352" i="3"/>
  <c r="E352" i="3"/>
  <c r="F352" i="3"/>
  <c r="G352" i="3"/>
  <c r="H352" i="3"/>
  <c r="D353" i="3"/>
  <c r="E353" i="3"/>
  <c r="F353" i="3"/>
  <c r="G353" i="3"/>
  <c r="H353" i="3"/>
  <c r="D354" i="3"/>
  <c r="E354" i="3"/>
  <c r="F354" i="3"/>
  <c r="G354" i="3"/>
  <c r="H354" i="3"/>
  <c r="D355" i="3"/>
  <c r="E355" i="3"/>
  <c r="F355" i="3"/>
  <c r="G355" i="3"/>
  <c r="H355" i="3"/>
  <c r="D356" i="3"/>
  <c r="E356" i="3"/>
  <c r="F356" i="3"/>
  <c r="G356" i="3"/>
  <c r="H356" i="3"/>
  <c r="D357" i="3"/>
  <c r="E357" i="3"/>
  <c r="F357" i="3"/>
  <c r="G357" i="3"/>
  <c r="H357" i="3"/>
  <c r="D358" i="3"/>
  <c r="E358" i="3"/>
  <c r="F358" i="3"/>
  <c r="G358" i="3"/>
  <c r="H358" i="3"/>
  <c r="D359" i="3"/>
  <c r="E359" i="3"/>
  <c r="F359" i="3"/>
  <c r="G359" i="3"/>
  <c r="H359" i="3"/>
  <c r="D360" i="3"/>
  <c r="E360" i="3"/>
  <c r="F360" i="3"/>
  <c r="G360" i="3"/>
  <c r="H360" i="3"/>
  <c r="D361" i="3"/>
  <c r="E361" i="3"/>
  <c r="F361" i="3"/>
  <c r="G361" i="3"/>
  <c r="H361" i="3"/>
  <c r="D362" i="3"/>
  <c r="E362" i="3"/>
  <c r="F362" i="3"/>
  <c r="G362" i="3"/>
  <c r="H362" i="3"/>
  <c r="D363" i="3"/>
  <c r="E363" i="3"/>
  <c r="F363" i="3"/>
  <c r="G363" i="3"/>
  <c r="H363" i="3"/>
  <c r="D364" i="3"/>
  <c r="E364" i="3"/>
  <c r="F364" i="3"/>
  <c r="G364" i="3"/>
  <c r="H364" i="3"/>
  <c r="D365" i="3"/>
  <c r="E365" i="3"/>
  <c r="F365" i="3"/>
  <c r="G365" i="3"/>
  <c r="H365" i="3"/>
  <c r="D366" i="3"/>
  <c r="E366" i="3"/>
  <c r="F366" i="3"/>
  <c r="G366" i="3"/>
  <c r="H366" i="3"/>
  <c r="D335" i="3"/>
  <c r="E335" i="3"/>
  <c r="F335" i="3"/>
  <c r="G335" i="3"/>
  <c r="H335" i="3"/>
  <c r="D336" i="3"/>
  <c r="E336" i="3"/>
  <c r="F336" i="3"/>
  <c r="G336" i="3"/>
  <c r="H336" i="3"/>
  <c r="D337" i="3"/>
  <c r="E337" i="3"/>
  <c r="F337" i="3"/>
  <c r="G337" i="3"/>
  <c r="H337" i="3"/>
  <c r="D338" i="3"/>
  <c r="E338" i="3"/>
  <c r="F338" i="3"/>
  <c r="G338" i="3"/>
  <c r="H338" i="3"/>
  <c r="D339" i="3"/>
  <c r="E339" i="3"/>
  <c r="F339" i="3"/>
  <c r="G339" i="3"/>
  <c r="H339" i="3"/>
  <c r="D340" i="3"/>
  <c r="E340" i="3"/>
  <c r="F340" i="3"/>
  <c r="G340" i="3"/>
  <c r="H340" i="3"/>
  <c r="D341" i="3"/>
  <c r="E341" i="3"/>
  <c r="F341" i="3"/>
  <c r="G341" i="3"/>
  <c r="H341" i="3"/>
  <c r="D329" i="3"/>
  <c r="E329" i="3"/>
  <c r="F329" i="3"/>
  <c r="G329" i="3"/>
  <c r="H329" i="3"/>
  <c r="D330" i="3"/>
  <c r="E330" i="3"/>
  <c r="F330" i="3"/>
  <c r="G330" i="3"/>
  <c r="H330" i="3"/>
  <c r="D331" i="3"/>
  <c r="E331" i="3"/>
  <c r="F331" i="3"/>
  <c r="G331" i="3"/>
  <c r="H331" i="3"/>
  <c r="D332" i="3"/>
  <c r="E332" i="3"/>
  <c r="F332" i="3"/>
  <c r="G332" i="3"/>
  <c r="H332" i="3"/>
  <c r="D333" i="3"/>
  <c r="E333" i="3"/>
  <c r="F333" i="3"/>
  <c r="G333" i="3"/>
  <c r="H333" i="3"/>
  <c r="D334" i="3"/>
  <c r="E334" i="3"/>
  <c r="F334" i="3"/>
  <c r="G334" i="3"/>
  <c r="H334" i="3"/>
  <c r="D321" i="3"/>
  <c r="E321" i="3"/>
  <c r="F321" i="3"/>
  <c r="G321" i="3"/>
  <c r="H321" i="3"/>
  <c r="D322" i="3"/>
  <c r="E322" i="3"/>
  <c r="F322" i="3"/>
  <c r="G322" i="3"/>
  <c r="H322" i="3"/>
  <c r="D323" i="3"/>
  <c r="E323" i="3"/>
  <c r="F323" i="3"/>
  <c r="G323" i="3"/>
  <c r="H323" i="3"/>
  <c r="D324" i="3"/>
  <c r="E324" i="3"/>
  <c r="F324" i="3"/>
  <c r="G324" i="3"/>
  <c r="H324" i="3"/>
  <c r="D325" i="3"/>
  <c r="E325" i="3"/>
  <c r="F325" i="3"/>
  <c r="G325" i="3"/>
  <c r="H325" i="3"/>
  <c r="D326" i="3"/>
  <c r="E326" i="3"/>
  <c r="F326" i="3"/>
  <c r="G326" i="3"/>
  <c r="H326" i="3"/>
  <c r="D327" i="3"/>
  <c r="E327" i="3"/>
  <c r="F327" i="3"/>
  <c r="G327" i="3"/>
  <c r="H327" i="3"/>
  <c r="D328" i="3"/>
  <c r="E328" i="3"/>
  <c r="F328" i="3"/>
  <c r="G328" i="3"/>
  <c r="H328" i="3"/>
  <c r="D313" i="3"/>
  <c r="E313" i="3"/>
  <c r="F313" i="3"/>
  <c r="G313" i="3"/>
  <c r="H313" i="3"/>
  <c r="D314" i="3"/>
  <c r="E314" i="3"/>
  <c r="F314" i="3"/>
  <c r="G314" i="3"/>
  <c r="H314" i="3"/>
  <c r="D315" i="3"/>
  <c r="E315" i="3"/>
  <c r="F315" i="3"/>
  <c r="G315" i="3"/>
  <c r="H315" i="3"/>
  <c r="D316" i="3"/>
  <c r="E316" i="3"/>
  <c r="F316" i="3"/>
  <c r="G316" i="3"/>
  <c r="H316" i="3"/>
  <c r="D317" i="3"/>
  <c r="E317" i="3"/>
  <c r="F317" i="3"/>
  <c r="G317" i="3"/>
  <c r="H317" i="3"/>
  <c r="D318" i="3"/>
  <c r="E318" i="3"/>
  <c r="F318" i="3"/>
  <c r="G318" i="3"/>
  <c r="H318" i="3"/>
  <c r="D319" i="3"/>
  <c r="E319" i="3"/>
  <c r="F319" i="3"/>
  <c r="G319" i="3"/>
  <c r="H319" i="3"/>
  <c r="D320" i="3"/>
  <c r="E320" i="3"/>
  <c r="F320" i="3"/>
  <c r="G320" i="3"/>
  <c r="H320" i="3"/>
  <c r="D279" i="3"/>
  <c r="E279" i="3"/>
  <c r="F279" i="3"/>
  <c r="G279" i="3"/>
  <c r="H279" i="3"/>
  <c r="D280" i="3"/>
  <c r="E280" i="3"/>
  <c r="F280" i="3"/>
  <c r="G280" i="3"/>
  <c r="H280" i="3"/>
  <c r="D281" i="3"/>
  <c r="E281" i="3"/>
  <c r="F281" i="3"/>
  <c r="G281" i="3"/>
  <c r="H281" i="3"/>
  <c r="D282" i="3"/>
  <c r="E282" i="3"/>
  <c r="F282" i="3"/>
  <c r="G282" i="3"/>
  <c r="H282" i="3"/>
  <c r="D283" i="3"/>
  <c r="E283" i="3"/>
  <c r="F283" i="3"/>
  <c r="G283" i="3"/>
  <c r="H283" i="3"/>
  <c r="D284" i="3"/>
  <c r="E284" i="3"/>
  <c r="F284" i="3"/>
  <c r="G284" i="3"/>
  <c r="H284" i="3"/>
  <c r="D285" i="3"/>
  <c r="E285" i="3"/>
  <c r="F285" i="3"/>
  <c r="G285" i="3"/>
  <c r="H285" i="3"/>
  <c r="D286" i="3"/>
  <c r="E286" i="3"/>
  <c r="F286" i="3"/>
  <c r="G286" i="3"/>
  <c r="H286" i="3"/>
  <c r="D287" i="3"/>
  <c r="E287" i="3"/>
  <c r="F287" i="3"/>
  <c r="G287" i="3"/>
  <c r="H287" i="3"/>
  <c r="D288" i="3"/>
  <c r="E288" i="3"/>
  <c r="F288" i="3"/>
  <c r="G288" i="3"/>
  <c r="H288" i="3"/>
  <c r="D289" i="3"/>
  <c r="E289" i="3"/>
  <c r="F289" i="3"/>
  <c r="G289" i="3"/>
  <c r="H289" i="3"/>
  <c r="D290" i="3"/>
  <c r="E290" i="3"/>
  <c r="F290" i="3"/>
  <c r="G290" i="3"/>
  <c r="H290" i="3"/>
  <c r="D291" i="3"/>
  <c r="E291" i="3"/>
  <c r="F291" i="3"/>
  <c r="G291" i="3"/>
  <c r="H291" i="3"/>
  <c r="D292" i="3"/>
  <c r="E292" i="3"/>
  <c r="F292" i="3"/>
  <c r="G292" i="3"/>
  <c r="H292" i="3"/>
  <c r="D293" i="3"/>
  <c r="E293" i="3"/>
  <c r="F293" i="3"/>
  <c r="G293" i="3"/>
  <c r="H293" i="3"/>
  <c r="D294" i="3"/>
  <c r="E294" i="3"/>
  <c r="F294" i="3"/>
  <c r="G294" i="3"/>
  <c r="H294" i="3"/>
  <c r="D295" i="3"/>
  <c r="E295" i="3"/>
  <c r="F295" i="3"/>
  <c r="G295" i="3"/>
  <c r="H295" i="3"/>
  <c r="D296" i="3"/>
  <c r="E296" i="3"/>
  <c r="F296" i="3"/>
  <c r="G296" i="3"/>
  <c r="H296" i="3"/>
  <c r="D297" i="3"/>
  <c r="E297" i="3"/>
  <c r="F297" i="3"/>
  <c r="G297" i="3"/>
  <c r="H297" i="3"/>
  <c r="D298" i="3"/>
  <c r="E298" i="3"/>
  <c r="F298" i="3"/>
  <c r="G298" i="3"/>
  <c r="H298" i="3"/>
  <c r="D299" i="3"/>
  <c r="E299" i="3"/>
  <c r="F299" i="3"/>
  <c r="G299" i="3"/>
  <c r="H299" i="3"/>
  <c r="D300" i="3"/>
  <c r="E300" i="3"/>
  <c r="F300" i="3"/>
  <c r="G300" i="3"/>
  <c r="H300" i="3"/>
  <c r="D301" i="3"/>
  <c r="E301" i="3"/>
  <c r="F301" i="3"/>
  <c r="G301" i="3"/>
  <c r="H301" i="3"/>
  <c r="D302" i="3"/>
  <c r="E302" i="3"/>
  <c r="F302" i="3"/>
  <c r="G302" i="3"/>
  <c r="H302" i="3"/>
  <c r="D303" i="3"/>
  <c r="E303" i="3"/>
  <c r="F303" i="3"/>
  <c r="G303" i="3"/>
  <c r="H303" i="3"/>
  <c r="D304" i="3"/>
  <c r="E304" i="3"/>
  <c r="F304" i="3"/>
  <c r="G304" i="3"/>
  <c r="H304" i="3"/>
  <c r="D305" i="3"/>
  <c r="E305" i="3"/>
  <c r="F305" i="3"/>
  <c r="G305" i="3"/>
  <c r="H305" i="3"/>
  <c r="D306" i="3"/>
  <c r="E306" i="3"/>
  <c r="F306" i="3"/>
  <c r="G306" i="3"/>
  <c r="H306" i="3"/>
  <c r="D307" i="3"/>
  <c r="E307" i="3"/>
  <c r="F307" i="3"/>
  <c r="G307" i="3"/>
  <c r="H307" i="3"/>
  <c r="D308" i="3"/>
  <c r="E308" i="3"/>
  <c r="F308" i="3"/>
  <c r="G308" i="3"/>
  <c r="H308" i="3"/>
  <c r="D309" i="3"/>
  <c r="E309" i="3"/>
  <c r="F309" i="3"/>
  <c r="G309" i="3"/>
  <c r="H309" i="3"/>
  <c r="D310" i="3"/>
  <c r="E310" i="3"/>
  <c r="F310" i="3"/>
  <c r="G310" i="3"/>
  <c r="H310" i="3"/>
  <c r="D311" i="3"/>
  <c r="E311" i="3"/>
  <c r="F311" i="3"/>
  <c r="G311" i="3"/>
  <c r="H311" i="3"/>
  <c r="D312" i="3"/>
  <c r="E312" i="3"/>
  <c r="F312" i="3"/>
  <c r="G312" i="3"/>
  <c r="H312" i="3"/>
  <c r="D272" i="3"/>
  <c r="E272" i="3"/>
  <c r="F272" i="3"/>
  <c r="G272" i="3"/>
  <c r="H272" i="3"/>
  <c r="D273" i="3"/>
  <c r="E273" i="3"/>
  <c r="F273" i="3"/>
  <c r="G273" i="3"/>
  <c r="H273" i="3"/>
  <c r="D274" i="3"/>
  <c r="E274" i="3"/>
  <c r="F274" i="3"/>
  <c r="G274" i="3"/>
  <c r="H274" i="3"/>
  <c r="D275" i="3"/>
  <c r="E275" i="3"/>
  <c r="F275" i="3"/>
  <c r="G275" i="3"/>
  <c r="H275" i="3"/>
  <c r="D276" i="3"/>
  <c r="E276" i="3"/>
  <c r="F276" i="3"/>
  <c r="G276" i="3"/>
  <c r="H276" i="3"/>
  <c r="D277" i="3"/>
  <c r="E277" i="3"/>
  <c r="F277" i="3"/>
  <c r="G277" i="3"/>
  <c r="H277" i="3"/>
  <c r="D278" i="3"/>
  <c r="E278" i="3"/>
  <c r="F278" i="3"/>
  <c r="G278" i="3"/>
  <c r="H278" i="3"/>
  <c r="D264" i="3"/>
  <c r="E264" i="3"/>
  <c r="F264" i="3"/>
  <c r="G264" i="3"/>
  <c r="H264" i="3"/>
  <c r="D265" i="3"/>
  <c r="E265" i="3"/>
  <c r="F265" i="3"/>
  <c r="G265" i="3"/>
  <c r="H265" i="3"/>
  <c r="D266" i="3"/>
  <c r="E266" i="3"/>
  <c r="F266" i="3"/>
  <c r="G266" i="3"/>
  <c r="H266" i="3"/>
  <c r="D267" i="3"/>
  <c r="E267" i="3"/>
  <c r="F267" i="3"/>
  <c r="G267" i="3"/>
  <c r="H267" i="3"/>
  <c r="D268" i="3"/>
  <c r="E268" i="3"/>
  <c r="F268" i="3"/>
  <c r="G268" i="3"/>
  <c r="H268" i="3"/>
  <c r="D269" i="3"/>
  <c r="E269" i="3"/>
  <c r="F269" i="3"/>
  <c r="G269" i="3"/>
  <c r="H269" i="3"/>
  <c r="D270" i="3"/>
  <c r="E270" i="3"/>
  <c r="F270" i="3"/>
  <c r="G270" i="3"/>
  <c r="H270" i="3"/>
  <c r="D271" i="3"/>
  <c r="E271" i="3"/>
  <c r="F271" i="3"/>
  <c r="G271" i="3"/>
  <c r="H271" i="3"/>
  <c r="D255" i="3"/>
  <c r="E255" i="3"/>
  <c r="F255" i="3"/>
  <c r="G255" i="3"/>
  <c r="H255" i="3"/>
  <c r="D256" i="3"/>
  <c r="E256" i="3"/>
  <c r="F256" i="3"/>
  <c r="G256" i="3"/>
  <c r="H256" i="3"/>
  <c r="D257" i="3"/>
  <c r="E257" i="3"/>
  <c r="F257" i="3"/>
  <c r="G257" i="3"/>
  <c r="H257" i="3"/>
  <c r="D258" i="3"/>
  <c r="E258" i="3"/>
  <c r="F258" i="3"/>
  <c r="G258" i="3"/>
  <c r="H258" i="3"/>
  <c r="D259" i="3"/>
  <c r="E259" i="3"/>
  <c r="F259" i="3"/>
  <c r="G259" i="3"/>
  <c r="H259" i="3"/>
  <c r="D260" i="3"/>
  <c r="E260" i="3"/>
  <c r="F260" i="3"/>
  <c r="G260" i="3"/>
  <c r="H260" i="3"/>
  <c r="D261" i="3"/>
  <c r="E261" i="3"/>
  <c r="F261" i="3"/>
  <c r="G261" i="3"/>
  <c r="H261" i="3"/>
  <c r="D262" i="3"/>
  <c r="E262" i="3"/>
  <c r="F262" i="3"/>
  <c r="G262" i="3"/>
  <c r="H262" i="3"/>
  <c r="D263" i="3"/>
  <c r="E263" i="3"/>
  <c r="F263" i="3"/>
  <c r="G263" i="3"/>
  <c r="H263" i="3"/>
  <c r="D252" i="3"/>
  <c r="E252" i="3"/>
  <c r="F252" i="3"/>
  <c r="G252" i="3"/>
  <c r="H252" i="3"/>
  <c r="D253" i="3"/>
  <c r="E253" i="3"/>
  <c r="F253" i="3"/>
  <c r="G253" i="3"/>
  <c r="H253" i="3"/>
  <c r="D254" i="3"/>
  <c r="E254" i="3"/>
  <c r="F254" i="3"/>
  <c r="G254" i="3"/>
  <c r="H254" i="3"/>
  <c r="D242" i="3"/>
  <c r="E242" i="3"/>
  <c r="F242" i="3"/>
  <c r="G242" i="3"/>
  <c r="H242" i="3"/>
  <c r="D243" i="3"/>
  <c r="E243" i="3"/>
  <c r="F243" i="3"/>
  <c r="G243" i="3"/>
  <c r="H243" i="3"/>
  <c r="D244" i="3"/>
  <c r="E244" i="3"/>
  <c r="F244" i="3"/>
  <c r="G244" i="3"/>
  <c r="H244" i="3"/>
  <c r="D245" i="3"/>
  <c r="E245" i="3"/>
  <c r="F245" i="3"/>
  <c r="G245" i="3"/>
  <c r="H245" i="3"/>
  <c r="D246" i="3"/>
  <c r="E246" i="3"/>
  <c r="F246" i="3"/>
  <c r="G246" i="3"/>
  <c r="H246" i="3"/>
  <c r="D247" i="3"/>
  <c r="E247" i="3"/>
  <c r="F247" i="3"/>
  <c r="G247" i="3"/>
  <c r="H247" i="3"/>
  <c r="D248" i="3"/>
  <c r="E248" i="3"/>
  <c r="F248" i="3"/>
  <c r="G248" i="3"/>
  <c r="H248" i="3"/>
  <c r="D249" i="3"/>
  <c r="E249" i="3"/>
  <c r="F249" i="3"/>
  <c r="G249" i="3"/>
  <c r="H249" i="3"/>
  <c r="D250" i="3"/>
  <c r="E250" i="3"/>
  <c r="F250" i="3"/>
  <c r="G250" i="3"/>
  <c r="H250" i="3"/>
  <c r="D251" i="3"/>
  <c r="E251" i="3"/>
  <c r="F251" i="3"/>
  <c r="G251" i="3"/>
  <c r="H251" i="3"/>
  <c r="D234" i="3"/>
  <c r="E234" i="3"/>
  <c r="F234" i="3"/>
  <c r="G234" i="3"/>
  <c r="H234" i="3"/>
  <c r="D235" i="3"/>
  <c r="E235" i="3"/>
  <c r="F235" i="3"/>
  <c r="G235" i="3"/>
  <c r="H235" i="3"/>
  <c r="D236" i="3"/>
  <c r="E236" i="3"/>
  <c r="F236" i="3"/>
  <c r="G236" i="3"/>
  <c r="H236" i="3"/>
  <c r="D237" i="3"/>
  <c r="E237" i="3"/>
  <c r="F237" i="3"/>
  <c r="G237" i="3"/>
  <c r="H237" i="3"/>
  <c r="D238" i="3"/>
  <c r="E238" i="3"/>
  <c r="F238" i="3"/>
  <c r="G238" i="3"/>
  <c r="H238" i="3"/>
  <c r="D239" i="3"/>
  <c r="E239" i="3"/>
  <c r="F239" i="3"/>
  <c r="G239" i="3"/>
  <c r="H239" i="3"/>
  <c r="D240" i="3"/>
  <c r="E240" i="3"/>
  <c r="F240" i="3"/>
  <c r="G240" i="3"/>
  <c r="H240" i="3"/>
  <c r="D241" i="3"/>
  <c r="E241" i="3"/>
  <c r="F241" i="3"/>
  <c r="G241" i="3"/>
  <c r="H241" i="3"/>
  <c r="D221" i="3"/>
  <c r="E221" i="3"/>
  <c r="F221" i="3"/>
  <c r="G221" i="3"/>
  <c r="H221" i="3"/>
  <c r="D222" i="3"/>
  <c r="E222" i="3"/>
  <c r="F222" i="3"/>
  <c r="G222" i="3"/>
  <c r="H222" i="3"/>
  <c r="D223" i="3"/>
  <c r="E223" i="3"/>
  <c r="F223" i="3"/>
  <c r="G223" i="3"/>
  <c r="H223" i="3"/>
  <c r="D224" i="3"/>
  <c r="E224" i="3"/>
  <c r="F224" i="3"/>
  <c r="G224" i="3"/>
  <c r="H224" i="3"/>
  <c r="D225" i="3"/>
  <c r="E225" i="3"/>
  <c r="F225" i="3"/>
  <c r="G225" i="3"/>
  <c r="H225" i="3"/>
  <c r="D226" i="3"/>
  <c r="E226" i="3"/>
  <c r="F226" i="3"/>
  <c r="G226" i="3"/>
  <c r="H226" i="3"/>
  <c r="D227" i="3"/>
  <c r="E227" i="3"/>
  <c r="F227" i="3"/>
  <c r="G227" i="3"/>
  <c r="H227" i="3"/>
  <c r="D228" i="3"/>
  <c r="E228" i="3"/>
  <c r="F228" i="3"/>
  <c r="G228" i="3"/>
  <c r="H228" i="3"/>
  <c r="D229" i="3"/>
  <c r="E229" i="3"/>
  <c r="F229" i="3"/>
  <c r="G229" i="3"/>
  <c r="H229" i="3"/>
  <c r="D230" i="3"/>
  <c r="E230" i="3"/>
  <c r="F230" i="3"/>
  <c r="G230" i="3"/>
  <c r="H230" i="3"/>
  <c r="D231" i="3"/>
  <c r="E231" i="3"/>
  <c r="F231" i="3"/>
  <c r="G231" i="3"/>
  <c r="H231" i="3"/>
  <c r="D232" i="3"/>
  <c r="E232" i="3"/>
  <c r="F232" i="3"/>
  <c r="G232" i="3"/>
  <c r="H232" i="3"/>
  <c r="D233" i="3"/>
  <c r="E233" i="3"/>
  <c r="F233" i="3"/>
  <c r="G233" i="3"/>
  <c r="H233" i="3"/>
  <c r="D212" i="3"/>
  <c r="E212" i="3"/>
  <c r="F212" i="3"/>
  <c r="G212" i="3"/>
  <c r="H212" i="3"/>
  <c r="D213" i="3"/>
  <c r="E213" i="3"/>
  <c r="F213" i="3"/>
  <c r="G213" i="3"/>
  <c r="H213" i="3"/>
  <c r="D214" i="3"/>
  <c r="E214" i="3"/>
  <c r="F214" i="3"/>
  <c r="G214" i="3"/>
  <c r="H214" i="3"/>
  <c r="D215" i="3"/>
  <c r="E215" i="3"/>
  <c r="F215" i="3"/>
  <c r="G215" i="3"/>
  <c r="H215" i="3"/>
  <c r="D216" i="3"/>
  <c r="E216" i="3"/>
  <c r="F216" i="3"/>
  <c r="G216" i="3"/>
  <c r="H216" i="3"/>
  <c r="D217" i="3"/>
  <c r="E217" i="3"/>
  <c r="F217" i="3"/>
  <c r="G217" i="3"/>
  <c r="H217" i="3"/>
  <c r="D218" i="3"/>
  <c r="E218" i="3"/>
  <c r="F218" i="3"/>
  <c r="G218" i="3"/>
  <c r="H218" i="3"/>
  <c r="D219" i="3"/>
  <c r="E219" i="3"/>
  <c r="F219" i="3"/>
  <c r="G219" i="3"/>
  <c r="H219" i="3"/>
  <c r="D220" i="3"/>
  <c r="E220" i="3"/>
  <c r="F220" i="3"/>
  <c r="G220" i="3"/>
  <c r="H220" i="3"/>
  <c r="D164" i="3"/>
  <c r="E164" i="3"/>
  <c r="F164" i="3"/>
  <c r="G164" i="3"/>
  <c r="H164" i="3"/>
  <c r="D165" i="3"/>
  <c r="E165" i="3"/>
  <c r="F165" i="3"/>
  <c r="G165" i="3"/>
  <c r="H165" i="3"/>
  <c r="D166" i="3"/>
  <c r="E166" i="3"/>
  <c r="F166" i="3"/>
  <c r="G166" i="3"/>
  <c r="H166" i="3"/>
  <c r="D167" i="3"/>
  <c r="E167" i="3"/>
  <c r="F167" i="3"/>
  <c r="G167" i="3"/>
  <c r="H167" i="3"/>
  <c r="D168" i="3"/>
  <c r="E168" i="3"/>
  <c r="F168" i="3"/>
  <c r="G168" i="3"/>
  <c r="H168" i="3"/>
  <c r="D169" i="3"/>
  <c r="E169" i="3"/>
  <c r="F169" i="3"/>
  <c r="G169" i="3"/>
  <c r="H169" i="3"/>
  <c r="D170" i="3"/>
  <c r="E170" i="3"/>
  <c r="F170" i="3"/>
  <c r="G170" i="3"/>
  <c r="H170" i="3"/>
  <c r="D171" i="3"/>
  <c r="E171" i="3"/>
  <c r="F171" i="3"/>
  <c r="G171" i="3"/>
  <c r="H171" i="3"/>
  <c r="D172" i="3"/>
  <c r="E172" i="3"/>
  <c r="F172" i="3"/>
  <c r="G172" i="3"/>
  <c r="H172" i="3"/>
  <c r="D173" i="3"/>
  <c r="E173" i="3"/>
  <c r="F173" i="3"/>
  <c r="G173" i="3"/>
  <c r="H173" i="3"/>
  <c r="D174" i="3"/>
  <c r="E174" i="3"/>
  <c r="F174" i="3"/>
  <c r="G174" i="3"/>
  <c r="H174" i="3"/>
  <c r="D175" i="3"/>
  <c r="E175" i="3"/>
  <c r="F175" i="3"/>
  <c r="G175" i="3"/>
  <c r="H175" i="3"/>
  <c r="D176" i="3"/>
  <c r="E176" i="3"/>
  <c r="F176" i="3"/>
  <c r="G176" i="3"/>
  <c r="H176" i="3"/>
  <c r="D177" i="3"/>
  <c r="E177" i="3"/>
  <c r="F177" i="3"/>
  <c r="G177" i="3"/>
  <c r="H177" i="3"/>
  <c r="D178" i="3"/>
  <c r="E178" i="3"/>
  <c r="F178" i="3"/>
  <c r="G178" i="3"/>
  <c r="H178" i="3"/>
  <c r="D179" i="3"/>
  <c r="E179" i="3"/>
  <c r="F179" i="3"/>
  <c r="G179" i="3"/>
  <c r="H179" i="3"/>
  <c r="D180" i="3"/>
  <c r="E180" i="3"/>
  <c r="F180" i="3"/>
  <c r="G180" i="3"/>
  <c r="H180" i="3"/>
  <c r="D181" i="3"/>
  <c r="E181" i="3"/>
  <c r="F181" i="3"/>
  <c r="G181" i="3"/>
  <c r="H181" i="3"/>
  <c r="D182" i="3"/>
  <c r="E182" i="3"/>
  <c r="F182" i="3"/>
  <c r="G182" i="3"/>
  <c r="H182" i="3"/>
  <c r="D183" i="3"/>
  <c r="E183" i="3"/>
  <c r="F183" i="3"/>
  <c r="G183" i="3"/>
  <c r="H183" i="3"/>
  <c r="D184" i="3"/>
  <c r="E184" i="3"/>
  <c r="F184" i="3"/>
  <c r="G184" i="3"/>
  <c r="H184" i="3"/>
  <c r="D185" i="3"/>
  <c r="E185" i="3"/>
  <c r="F185" i="3"/>
  <c r="G185" i="3"/>
  <c r="H185" i="3"/>
  <c r="D186" i="3"/>
  <c r="E186" i="3"/>
  <c r="F186" i="3"/>
  <c r="G186" i="3"/>
  <c r="H186" i="3"/>
  <c r="D187" i="3"/>
  <c r="E187" i="3"/>
  <c r="F187" i="3"/>
  <c r="G187" i="3"/>
  <c r="H187" i="3"/>
  <c r="D188" i="3"/>
  <c r="E188" i="3"/>
  <c r="F188" i="3"/>
  <c r="G188" i="3"/>
  <c r="H188" i="3"/>
  <c r="D189" i="3"/>
  <c r="E189" i="3"/>
  <c r="F189" i="3"/>
  <c r="G189" i="3"/>
  <c r="H189" i="3"/>
  <c r="D190" i="3"/>
  <c r="E190" i="3"/>
  <c r="F190" i="3"/>
  <c r="G190" i="3"/>
  <c r="H190" i="3"/>
  <c r="D191" i="3"/>
  <c r="E191" i="3"/>
  <c r="F191" i="3"/>
  <c r="G191" i="3"/>
  <c r="H191" i="3"/>
  <c r="D192" i="3"/>
  <c r="E192" i="3"/>
  <c r="F192" i="3"/>
  <c r="G192" i="3"/>
  <c r="H192" i="3"/>
  <c r="D193" i="3"/>
  <c r="E193" i="3"/>
  <c r="F193" i="3"/>
  <c r="G193" i="3"/>
  <c r="H193" i="3"/>
  <c r="D194" i="3"/>
  <c r="E194" i="3"/>
  <c r="F194" i="3"/>
  <c r="G194" i="3"/>
  <c r="H194" i="3"/>
  <c r="D195" i="3"/>
  <c r="E195" i="3"/>
  <c r="F195" i="3"/>
  <c r="G195" i="3"/>
  <c r="H195" i="3"/>
  <c r="D196" i="3"/>
  <c r="E196" i="3"/>
  <c r="F196" i="3"/>
  <c r="G196" i="3"/>
  <c r="H196" i="3"/>
  <c r="D197" i="3"/>
  <c r="E197" i="3"/>
  <c r="F197" i="3"/>
  <c r="G197" i="3"/>
  <c r="H197" i="3"/>
  <c r="D198" i="3"/>
  <c r="E198" i="3"/>
  <c r="F198" i="3"/>
  <c r="G198" i="3"/>
  <c r="H198" i="3"/>
  <c r="D199" i="3"/>
  <c r="E199" i="3"/>
  <c r="F199" i="3"/>
  <c r="G199" i="3"/>
  <c r="H199" i="3"/>
  <c r="D200" i="3"/>
  <c r="E200" i="3"/>
  <c r="F200" i="3"/>
  <c r="G200" i="3"/>
  <c r="H200" i="3"/>
  <c r="D201" i="3"/>
  <c r="E201" i="3"/>
  <c r="F201" i="3"/>
  <c r="G201" i="3"/>
  <c r="H201" i="3"/>
  <c r="D202" i="3"/>
  <c r="E202" i="3"/>
  <c r="F202" i="3"/>
  <c r="G202" i="3"/>
  <c r="H202" i="3"/>
  <c r="D203" i="3"/>
  <c r="E203" i="3"/>
  <c r="F203" i="3"/>
  <c r="G203" i="3"/>
  <c r="H203" i="3"/>
  <c r="D204" i="3"/>
  <c r="E204" i="3"/>
  <c r="F204" i="3"/>
  <c r="G204" i="3"/>
  <c r="H204" i="3"/>
  <c r="D205" i="3"/>
  <c r="E205" i="3"/>
  <c r="F205" i="3"/>
  <c r="G205" i="3"/>
  <c r="H205" i="3"/>
  <c r="D206" i="3"/>
  <c r="E206" i="3"/>
  <c r="F206" i="3"/>
  <c r="G206" i="3"/>
  <c r="H206" i="3"/>
  <c r="D207" i="3"/>
  <c r="E207" i="3"/>
  <c r="F207" i="3"/>
  <c r="G207" i="3"/>
  <c r="H207" i="3"/>
  <c r="D208" i="3"/>
  <c r="E208" i="3"/>
  <c r="F208" i="3"/>
  <c r="G208" i="3"/>
  <c r="H208" i="3"/>
  <c r="D209" i="3"/>
  <c r="E209" i="3"/>
  <c r="F209" i="3"/>
  <c r="G209" i="3"/>
  <c r="H209" i="3"/>
  <c r="D210" i="3"/>
  <c r="E210" i="3"/>
  <c r="F210" i="3"/>
  <c r="G210" i="3"/>
  <c r="H210" i="3"/>
  <c r="D211" i="3"/>
  <c r="E211" i="3"/>
  <c r="F211" i="3"/>
  <c r="G211" i="3"/>
  <c r="H211" i="3"/>
  <c r="D21" i="3"/>
  <c r="E21" i="3"/>
  <c r="F21" i="3"/>
  <c r="G21" i="3"/>
  <c r="H21" i="3"/>
  <c r="D22" i="3"/>
  <c r="E22" i="3"/>
  <c r="F22" i="3"/>
  <c r="G22" i="3"/>
  <c r="H22" i="3"/>
  <c r="D23" i="3"/>
  <c r="E23" i="3"/>
  <c r="F23" i="3"/>
  <c r="G23" i="3"/>
  <c r="H23" i="3"/>
  <c r="D24" i="3"/>
  <c r="E24" i="3"/>
  <c r="F24" i="3"/>
  <c r="G24" i="3"/>
  <c r="H24" i="3"/>
  <c r="D25" i="3"/>
  <c r="E25" i="3"/>
  <c r="F25" i="3"/>
  <c r="G25" i="3"/>
  <c r="H25" i="3"/>
  <c r="D26" i="3"/>
  <c r="E26" i="3"/>
  <c r="F26" i="3"/>
  <c r="G26" i="3"/>
  <c r="H26" i="3"/>
  <c r="D27" i="3"/>
  <c r="E27" i="3"/>
  <c r="F27" i="3"/>
  <c r="G27" i="3"/>
  <c r="H27" i="3"/>
  <c r="D28" i="3"/>
  <c r="E28" i="3"/>
  <c r="F28" i="3"/>
  <c r="G28" i="3"/>
  <c r="H28" i="3"/>
  <c r="D29" i="3"/>
  <c r="E29" i="3"/>
  <c r="F29" i="3"/>
  <c r="G29" i="3"/>
  <c r="H29" i="3"/>
  <c r="D30" i="3"/>
  <c r="E30" i="3"/>
  <c r="F30" i="3"/>
  <c r="G30" i="3"/>
  <c r="H30" i="3"/>
  <c r="D31" i="3"/>
  <c r="E31" i="3"/>
  <c r="F31" i="3"/>
  <c r="G31" i="3"/>
  <c r="H31" i="3"/>
  <c r="D32" i="3"/>
  <c r="E32" i="3"/>
  <c r="F32" i="3"/>
  <c r="G32" i="3"/>
  <c r="H32" i="3"/>
  <c r="D33" i="3"/>
  <c r="E33" i="3"/>
  <c r="F33" i="3"/>
  <c r="G33" i="3"/>
  <c r="H33" i="3"/>
  <c r="D34" i="3"/>
  <c r="E34" i="3"/>
  <c r="F34" i="3"/>
  <c r="G34" i="3"/>
  <c r="H34" i="3"/>
  <c r="D35" i="3"/>
  <c r="E35" i="3"/>
  <c r="F35" i="3"/>
  <c r="G35" i="3"/>
  <c r="H35" i="3"/>
  <c r="D36" i="3"/>
  <c r="E36" i="3"/>
  <c r="F36" i="3"/>
  <c r="G36" i="3"/>
  <c r="H36" i="3"/>
  <c r="D37" i="3"/>
  <c r="E37" i="3"/>
  <c r="F37" i="3"/>
  <c r="G37" i="3"/>
  <c r="H37" i="3"/>
  <c r="D38" i="3"/>
  <c r="E38" i="3"/>
  <c r="F38" i="3"/>
  <c r="G38" i="3"/>
  <c r="H38" i="3"/>
  <c r="D39" i="3"/>
  <c r="E39" i="3"/>
  <c r="F39" i="3"/>
  <c r="G39" i="3"/>
  <c r="H39" i="3"/>
  <c r="D40" i="3"/>
  <c r="E40" i="3"/>
  <c r="F40" i="3"/>
  <c r="G40" i="3"/>
  <c r="H40" i="3"/>
  <c r="D41" i="3"/>
  <c r="E41" i="3"/>
  <c r="F41" i="3"/>
  <c r="G41" i="3"/>
  <c r="H41" i="3"/>
  <c r="D42" i="3"/>
  <c r="E42" i="3"/>
  <c r="F42" i="3"/>
  <c r="G42" i="3"/>
  <c r="H42" i="3"/>
  <c r="D43" i="3"/>
  <c r="E43" i="3"/>
  <c r="F43" i="3"/>
  <c r="G43" i="3"/>
  <c r="H43" i="3"/>
  <c r="D44" i="3"/>
  <c r="E44" i="3"/>
  <c r="F44" i="3"/>
  <c r="G44" i="3"/>
  <c r="H44" i="3"/>
  <c r="D45" i="3"/>
  <c r="E45" i="3"/>
  <c r="F45" i="3"/>
  <c r="G45" i="3"/>
  <c r="H45" i="3"/>
  <c r="D46" i="3"/>
  <c r="E46" i="3"/>
  <c r="F46" i="3"/>
  <c r="G46" i="3"/>
  <c r="H46" i="3"/>
  <c r="D47" i="3"/>
  <c r="E47" i="3"/>
  <c r="F47" i="3"/>
  <c r="G47" i="3"/>
  <c r="H47" i="3"/>
  <c r="D48" i="3"/>
  <c r="E48" i="3"/>
  <c r="F48" i="3"/>
  <c r="G48" i="3"/>
  <c r="H48" i="3"/>
  <c r="D49" i="3"/>
  <c r="E49" i="3"/>
  <c r="F49" i="3"/>
  <c r="G49" i="3"/>
  <c r="H49" i="3"/>
  <c r="D50" i="3"/>
  <c r="E50" i="3"/>
  <c r="F50" i="3"/>
  <c r="G50" i="3"/>
  <c r="H50" i="3"/>
  <c r="D51" i="3"/>
  <c r="E51" i="3"/>
  <c r="F51" i="3"/>
  <c r="G51" i="3"/>
  <c r="H51" i="3"/>
  <c r="D52" i="3"/>
  <c r="E52" i="3"/>
  <c r="F52" i="3"/>
  <c r="G52" i="3"/>
  <c r="H52" i="3"/>
  <c r="D53" i="3"/>
  <c r="E53" i="3"/>
  <c r="F53" i="3"/>
  <c r="G53" i="3"/>
  <c r="H53" i="3"/>
  <c r="D54" i="3"/>
  <c r="E54" i="3"/>
  <c r="F54" i="3"/>
  <c r="G54" i="3"/>
  <c r="H54" i="3"/>
  <c r="D55" i="3"/>
  <c r="E55" i="3"/>
  <c r="F55" i="3"/>
  <c r="G55" i="3"/>
  <c r="H55" i="3"/>
  <c r="D56" i="3"/>
  <c r="E56" i="3"/>
  <c r="F56" i="3"/>
  <c r="G56" i="3"/>
  <c r="H56" i="3"/>
  <c r="D57" i="3"/>
  <c r="E57" i="3"/>
  <c r="F57" i="3"/>
  <c r="G57" i="3"/>
  <c r="H57" i="3"/>
  <c r="D58" i="3"/>
  <c r="E58" i="3"/>
  <c r="F58" i="3"/>
  <c r="G58" i="3"/>
  <c r="H58" i="3"/>
  <c r="D59" i="3"/>
  <c r="E59" i="3"/>
  <c r="F59" i="3"/>
  <c r="G59" i="3"/>
  <c r="H59" i="3"/>
  <c r="D60" i="3"/>
  <c r="E60" i="3"/>
  <c r="F60" i="3"/>
  <c r="G60" i="3"/>
  <c r="H60" i="3"/>
  <c r="D61" i="3"/>
  <c r="E61" i="3"/>
  <c r="F61" i="3"/>
  <c r="G61" i="3"/>
  <c r="H61" i="3"/>
  <c r="D62" i="3"/>
  <c r="E62" i="3"/>
  <c r="F62" i="3"/>
  <c r="G62" i="3"/>
  <c r="H62" i="3"/>
  <c r="D63" i="3"/>
  <c r="E63" i="3"/>
  <c r="F63" i="3"/>
  <c r="G63" i="3"/>
  <c r="H63" i="3"/>
  <c r="D64" i="3"/>
  <c r="E64" i="3"/>
  <c r="F64" i="3"/>
  <c r="G64" i="3"/>
  <c r="H64" i="3"/>
  <c r="D65" i="3"/>
  <c r="E65" i="3"/>
  <c r="F65" i="3"/>
  <c r="G65" i="3"/>
  <c r="H65" i="3"/>
  <c r="D66" i="3"/>
  <c r="E66" i="3"/>
  <c r="F66" i="3"/>
  <c r="G66" i="3"/>
  <c r="H66" i="3"/>
  <c r="D67" i="3"/>
  <c r="E67" i="3"/>
  <c r="F67" i="3"/>
  <c r="G67" i="3"/>
  <c r="H67" i="3"/>
  <c r="D68" i="3"/>
  <c r="E68" i="3"/>
  <c r="F68" i="3"/>
  <c r="G68" i="3"/>
  <c r="H68" i="3"/>
  <c r="D69" i="3"/>
  <c r="E69" i="3"/>
  <c r="F69" i="3"/>
  <c r="G69" i="3"/>
  <c r="H69" i="3"/>
  <c r="D70" i="3"/>
  <c r="E70" i="3"/>
  <c r="F70" i="3"/>
  <c r="G70" i="3"/>
  <c r="H70" i="3"/>
  <c r="D71" i="3"/>
  <c r="E71" i="3"/>
  <c r="F71" i="3"/>
  <c r="G71" i="3"/>
  <c r="H71" i="3"/>
  <c r="D72" i="3"/>
  <c r="E72" i="3"/>
  <c r="F72" i="3"/>
  <c r="G72" i="3"/>
  <c r="H72" i="3"/>
  <c r="D73" i="3"/>
  <c r="E73" i="3"/>
  <c r="F73" i="3"/>
  <c r="G73" i="3"/>
  <c r="H73" i="3"/>
  <c r="D74" i="3"/>
  <c r="E74" i="3"/>
  <c r="F74" i="3"/>
  <c r="G74" i="3"/>
  <c r="H74" i="3"/>
  <c r="D75" i="3"/>
  <c r="E75" i="3"/>
  <c r="F75" i="3"/>
  <c r="G75" i="3"/>
  <c r="H75" i="3"/>
  <c r="D76" i="3"/>
  <c r="E76" i="3"/>
  <c r="F76" i="3"/>
  <c r="G76" i="3"/>
  <c r="H76" i="3"/>
  <c r="D77" i="3"/>
  <c r="E77" i="3"/>
  <c r="F77" i="3"/>
  <c r="G77" i="3"/>
  <c r="H77" i="3"/>
  <c r="D78" i="3"/>
  <c r="E78" i="3"/>
  <c r="F78" i="3"/>
  <c r="G78" i="3"/>
  <c r="H78" i="3"/>
  <c r="D79" i="3"/>
  <c r="E79" i="3"/>
  <c r="F79" i="3"/>
  <c r="G79" i="3"/>
  <c r="H79" i="3"/>
  <c r="D80" i="3"/>
  <c r="E80" i="3"/>
  <c r="F80" i="3"/>
  <c r="G80" i="3"/>
  <c r="H80" i="3"/>
  <c r="D81" i="3"/>
  <c r="E81" i="3"/>
  <c r="F81" i="3"/>
  <c r="G81" i="3"/>
  <c r="H81" i="3"/>
  <c r="D82" i="3"/>
  <c r="E82" i="3"/>
  <c r="F82" i="3"/>
  <c r="G82" i="3"/>
  <c r="H82" i="3"/>
  <c r="D83" i="3"/>
  <c r="E83" i="3"/>
  <c r="F83" i="3"/>
  <c r="G83" i="3"/>
  <c r="H83" i="3"/>
  <c r="D84" i="3"/>
  <c r="E84" i="3"/>
  <c r="F84" i="3"/>
  <c r="G84" i="3"/>
  <c r="H84" i="3"/>
  <c r="D85" i="3"/>
  <c r="E85" i="3"/>
  <c r="F85" i="3"/>
  <c r="G85" i="3"/>
  <c r="H85" i="3"/>
  <c r="D86" i="3"/>
  <c r="E86" i="3"/>
  <c r="F86" i="3"/>
  <c r="G86" i="3"/>
  <c r="H86" i="3"/>
  <c r="D87" i="3"/>
  <c r="E87" i="3"/>
  <c r="F87" i="3"/>
  <c r="G87" i="3"/>
  <c r="H87" i="3"/>
  <c r="D88" i="3"/>
  <c r="E88" i="3"/>
  <c r="F88" i="3"/>
  <c r="G88" i="3"/>
  <c r="H88" i="3"/>
  <c r="D89" i="3"/>
  <c r="E89" i="3"/>
  <c r="F89" i="3"/>
  <c r="G89" i="3"/>
  <c r="H89" i="3"/>
  <c r="D90" i="3"/>
  <c r="E90" i="3"/>
  <c r="F90" i="3"/>
  <c r="G90" i="3"/>
  <c r="H90" i="3"/>
  <c r="D91" i="3"/>
  <c r="E91" i="3"/>
  <c r="F91" i="3"/>
  <c r="G91" i="3"/>
  <c r="H91" i="3"/>
  <c r="D92" i="3"/>
  <c r="E92" i="3"/>
  <c r="F92" i="3"/>
  <c r="G92" i="3"/>
  <c r="H92" i="3"/>
  <c r="D93" i="3"/>
  <c r="E93" i="3"/>
  <c r="F93" i="3"/>
  <c r="G93" i="3"/>
  <c r="H93" i="3"/>
  <c r="D94" i="3"/>
  <c r="E94" i="3"/>
  <c r="F94" i="3"/>
  <c r="G94" i="3"/>
  <c r="H94" i="3"/>
  <c r="D95" i="3"/>
  <c r="E95" i="3"/>
  <c r="F95" i="3"/>
  <c r="G95" i="3"/>
  <c r="H95" i="3"/>
  <c r="D96" i="3"/>
  <c r="E96" i="3"/>
  <c r="F96" i="3"/>
  <c r="G96" i="3"/>
  <c r="H96" i="3"/>
  <c r="D97" i="3"/>
  <c r="E97" i="3"/>
  <c r="F97" i="3"/>
  <c r="G97" i="3"/>
  <c r="H97" i="3"/>
  <c r="D98" i="3"/>
  <c r="E98" i="3"/>
  <c r="F98" i="3"/>
  <c r="G98" i="3"/>
  <c r="H98" i="3"/>
  <c r="D99" i="3"/>
  <c r="E99" i="3"/>
  <c r="F99" i="3"/>
  <c r="G99" i="3"/>
  <c r="H99" i="3"/>
  <c r="D100" i="3"/>
  <c r="E100" i="3"/>
  <c r="F100" i="3"/>
  <c r="G100" i="3"/>
  <c r="H100" i="3"/>
  <c r="D101" i="3"/>
  <c r="E101" i="3"/>
  <c r="F101" i="3"/>
  <c r="G101" i="3"/>
  <c r="H101" i="3"/>
  <c r="D102" i="3"/>
  <c r="E102" i="3"/>
  <c r="F102" i="3"/>
  <c r="G102" i="3"/>
  <c r="H102" i="3"/>
  <c r="D103" i="3"/>
  <c r="E103" i="3"/>
  <c r="F103" i="3"/>
  <c r="G103" i="3"/>
  <c r="H103" i="3"/>
  <c r="D104" i="3"/>
  <c r="E104" i="3"/>
  <c r="F104" i="3"/>
  <c r="G104" i="3"/>
  <c r="H104" i="3"/>
  <c r="D105" i="3"/>
  <c r="E105" i="3"/>
  <c r="F105" i="3"/>
  <c r="G105" i="3"/>
  <c r="H105" i="3"/>
  <c r="D106" i="3"/>
  <c r="E106" i="3"/>
  <c r="F106" i="3"/>
  <c r="G106" i="3"/>
  <c r="H106" i="3"/>
  <c r="D107" i="3"/>
  <c r="E107" i="3"/>
  <c r="F107" i="3"/>
  <c r="G107" i="3"/>
  <c r="H107" i="3"/>
  <c r="D108" i="3"/>
  <c r="E108" i="3"/>
  <c r="F108" i="3"/>
  <c r="G108" i="3"/>
  <c r="H108" i="3"/>
  <c r="D109" i="3"/>
  <c r="E109" i="3"/>
  <c r="F109" i="3"/>
  <c r="G109" i="3"/>
  <c r="H109" i="3"/>
  <c r="D110" i="3"/>
  <c r="E110" i="3"/>
  <c r="F110" i="3"/>
  <c r="G110" i="3"/>
  <c r="H110" i="3"/>
  <c r="D111" i="3"/>
  <c r="E111" i="3"/>
  <c r="F111" i="3"/>
  <c r="G111" i="3"/>
  <c r="H111" i="3"/>
  <c r="D112" i="3"/>
  <c r="E112" i="3"/>
  <c r="F112" i="3"/>
  <c r="G112" i="3"/>
  <c r="H112" i="3"/>
  <c r="D113" i="3"/>
  <c r="E113" i="3"/>
  <c r="F113" i="3"/>
  <c r="G113" i="3"/>
  <c r="H113" i="3"/>
  <c r="D114" i="3"/>
  <c r="E114" i="3"/>
  <c r="F114" i="3"/>
  <c r="G114" i="3"/>
  <c r="H114" i="3"/>
  <c r="D115" i="3"/>
  <c r="E115" i="3"/>
  <c r="F115" i="3"/>
  <c r="G115" i="3"/>
  <c r="H115" i="3"/>
  <c r="D116" i="3"/>
  <c r="E116" i="3"/>
  <c r="F116" i="3"/>
  <c r="G116" i="3"/>
  <c r="H116" i="3"/>
  <c r="D117" i="3"/>
  <c r="E117" i="3"/>
  <c r="F117" i="3"/>
  <c r="G117" i="3"/>
  <c r="H117" i="3"/>
  <c r="D118" i="3"/>
  <c r="E118" i="3"/>
  <c r="F118" i="3"/>
  <c r="G118" i="3"/>
  <c r="H118" i="3"/>
  <c r="D119" i="3"/>
  <c r="E119" i="3"/>
  <c r="F119" i="3"/>
  <c r="G119" i="3"/>
  <c r="H119" i="3"/>
  <c r="D120" i="3"/>
  <c r="E120" i="3"/>
  <c r="F120" i="3"/>
  <c r="G120" i="3"/>
  <c r="H120" i="3"/>
  <c r="D121" i="3"/>
  <c r="E121" i="3"/>
  <c r="F121" i="3"/>
  <c r="G121" i="3"/>
  <c r="H121" i="3"/>
  <c r="D122" i="3"/>
  <c r="E122" i="3"/>
  <c r="F122" i="3"/>
  <c r="G122" i="3"/>
  <c r="H122" i="3"/>
  <c r="D123" i="3"/>
  <c r="E123" i="3"/>
  <c r="F123" i="3"/>
  <c r="G123" i="3"/>
  <c r="H123" i="3"/>
  <c r="D124" i="3"/>
  <c r="E124" i="3"/>
  <c r="F124" i="3"/>
  <c r="G124" i="3"/>
  <c r="H124" i="3"/>
  <c r="D125" i="3"/>
  <c r="E125" i="3"/>
  <c r="F125" i="3"/>
  <c r="G125" i="3"/>
  <c r="H125" i="3"/>
  <c r="D126" i="3"/>
  <c r="E126" i="3"/>
  <c r="F126" i="3"/>
  <c r="G126" i="3"/>
  <c r="H126" i="3"/>
  <c r="D127" i="3"/>
  <c r="E127" i="3"/>
  <c r="F127" i="3"/>
  <c r="G127" i="3"/>
  <c r="H127" i="3"/>
  <c r="D128" i="3"/>
  <c r="E128" i="3"/>
  <c r="F128" i="3"/>
  <c r="G128" i="3"/>
  <c r="H128" i="3"/>
  <c r="D129" i="3"/>
  <c r="E129" i="3"/>
  <c r="F129" i="3"/>
  <c r="G129" i="3"/>
  <c r="H129" i="3"/>
  <c r="D130" i="3"/>
  <c r="E130" i="3"/>
  <c r="F130" i="3"/>
  <c r="G130" i="3"/>
  <c r="H130" i="3"/>
  <c r="D131" i="3"/>
  <c r="E131" i="3"/>
  <c r="F131" i="3"/>
  <c r="G131" i="3"/>
  <c r="H131" i="3"/>
  <c r="D132" i="3"/>
  <c r="E132" i="3"/>
  <c r="F132" i="3"/>
  <c r="G132" i="3"/>
  <c r="H132" i="3"/>
  <c r="D133" i="3"/>
  <c r="E133" i="3"/>
  <c r="F133" i="3"/>
  <c r="G133" i="3"/>
  <c r="H133" i="3"/>
  <c r="D134" i="3"/>
  <c r="E134" i="3"/>
  <c r="F134" i="3"/>
  <c r="G134" i="3"/>
  <c r="H134" i="3"/>
  <c r="D135" i="3"/>
  <c r="E135" i="3"/>
  <c r="F135" i="3"/>
  <c r="G135" i="3"/>
  <c r="H135" i="3"/>
  <c r="D136" i="3"/>
  <c r="E136" i="3"/>
  <c r="F136" i="3"/>
  <c r="G136" i="3"/>
  <c r="H136" i="3"/>
  <c r="D137" i="3"/>
  <c r="E137" i="3"/>
  <c r="F137" i="3"/>
  <c r="G137" i="3"/>
  <c r="H137" i="3"/>
  <c r="D138" i="3"/>
  <c r="E138" i="3"/>
  <c r="F138" i="3"/>
  <c r="G138" i="3"/>
  <c r="H138" i="3"/>
  <c r="D139" i="3"/>
  <c r="E139" i="3"/>
  <c r="F139" i="3"/>
  <c r="G139" i="3"/>
  <c r="H139" i="3"/>
  <c r="D140" i="3"/>
  <c r="E140" i="3"/>
  <c r="F140" i="3"/>
  <c r="G140" i="3"/>
  <c r="H140" i="3"/>
  <c r="D141" i="3"/>
  <c r="E141" i="3"/>
  <c r="F141" i="3"/>
  <c r="G141" i="3"/>
  <c r="H141" i="3"/>
  <c r="D142" i="3"/>
  <c r="E142" i="3"/>
  <c r="F142" i="3"/>
  <c r="G142" i="3"/>
  <c r="H142" i="3"/>
  <c r="D143" i="3"/>
  <c r="E143" i="3"/>
  <c r="F143" i="3"/>
  <c r="G143" i="3"/>
  <c r="H143" i="3"/>
  <c r="D144" i="3"/>
  <c r="E144" i="3"/>
  <c r="F144" i="3"/>
  <c r="G144" i="3"/>
  <c r="H144" i="3"/>
  <c r="D145" i="3"/>
  <c r="E145" i="3"/>
  <c r="F145" i="3"/>
  <c r="G145" i="3"/>
  <c r="H145" i="3"/>
  <c r="D146" i="3"/>
  <c r="E146" i="3"/>
  <c r="F146" i="3"/>
  <c r="G146" i="3"/>
  <c r="H146" i="3"/>
  <c r="D147" i="3"/>
  <c r="E147" i="3"/>
  <c r="F147" i="3"/>
  <c r="G147" i="3"/>
  <c r="H147" i="3"/>
  <c r="D148" i="3"/>
  <c r="E148" i="3"/>
  <c r="F148" i="3"/>
  <c r="G148" i="3"/>
  <c r="H148" i="3"/>
  <c r="D149" i="3"/>
  <c r="E149" i="3"/>
  <c r="F149" i="3"/>
  <c r="G149" i="3"/>
  <c r="H149" i="3"/>
  <c r="D150" i="3"/>
  <c r="E150" i="3"/>
  <c r="F150" i="3"/>
  <c r="G150" i="3"/>
  <c r="H150" i="3"/>
  <c r="D151" i="3"/>
  <c r="E151" i="3"/>
  <c r="F151" i="3"/>
  <c r="G151" i="3"/>
  <c r="H151" i="3"/>
  <c r="D152" i="3"/>
  <c r="E152" i="3"/>
  <c r="F152" i="3"/>
  <c r="G152" i="3"/>
  <c r="H152" i="3"/>
  <c r="D153" i="3"/>
  <c r="E153" i="3"/>
  <c r="F153" i="3"/>
  <c r="G153" i="3"/>
  <c r="H153" i="3"/>
  <c r="D154" i="3"/>
  <c r="E154" i="3"/>
  <c r="F154" i="3"/>
  <c r="G154" i="3"/>
  <c r="H154" i="3"/>
  <c r="D155" i="3"/>
  <c r="E155" i="3"/>
  <c r="F155" i="3"/>
  <c r="G155" i="3"/>
  <c r="H155" i="3"/>
  <c r="D156" i="3"/>
  <c r="E156" i="3"/>
  <c r="F156" i="3"/>
  <c r="G156" i="3"/>
  <c r="H156" i="3"/>
  <c r="D157" i="3"/>
  <c r="E157" i="3"/>
  <c r="F157" i="3"/>
  <c r="G157" i="3"/>
  <c r="H157" i="3"/>
  <c r="D158" i="3"/>
  <c r="E158" i="3"/>
  <c r="F158" i="3"/>
  <c r="G158" i="3"/>
  <c r="H158" i="3"/>
  <c r="D159" i="3"/>
  <c r="E159" i="3"/>
  <c r="F159" i="3"/>
  <c r="G159" i="3"/>
  <c r="H159" i="3"/>
  <c r="D160" i="3"/>
  <c r="E160" i="3"/>
  <c r="F160" i="3"/>
  <c r="G160" i="3"/>
  <c r="H160" i="3"/>
  <c r="D161" i="3"/>
  <c r="E161" i="3"/>
  <c r="F161" i="3"/>
  <c r="G161" i="3"/>
  <c r="H161" i="3"/>
  <c r="D162" i="3"/>
  <c r="E162" i="3"/>
  <c r="F162" i="3"/>
  <c r="G162" i="3"/>
  <c r="H162" i="3"/>
  <c r="D163" i="3"/>
  <c r="E163" i="3"/>
  <c r="F163" i="3"/>
  <c r="G163" i="3"/>
  <c r="H163" i="3"/>
  <c r="D18" i="3"/>
  <c r="E18" i="3"/>
  <c r="F18" i="3"/>
  <c r="G18" i="3"/>
  <c r="H18" i="3"/>
  <c r="D19" i="3"/>
  <c r="E19" i="3"/>
  <c r="F19" i="3"/>
  <c r="G19" i="3"/>
  <c r="H19" i="3"/>
  <c r="D20" i="3"/>
  <c r="E20" i="3"/>
  <c r="F20" i="3"/>
  <c r="G20" i="3"/>
  <c r="H20" i="3"/>
  <c r="D11" i="3"/>
  <c r="E11" i="3"/>
  <c r="F11" i="3"/>
  <c r="G11" i="3"/>
  <c r="H11" i="3"/>
  <c r="D12" i="3"/>
  <c r="E12" i="3"/>
  <c r="F12" i="3"/>
  <c r="G12" i="3"/>
  <c r="H12" i="3"/>
  <c r="D13" i="3"/>
  <c r="E13" i="3"/>
  <c r="F13" i="3"/>
  <c r="G13" i="3"/>
  <c r="H13" i="3"/>
  <c r="D14" i="3"/>
  <c r="E14" i="3"/>
  <c r="F14" i="3"/>
  <c r="G14" i="3"/>
  <c r="H14" i="3"/>
  <c r="D15" i="3"/>
  <c r="E15" i="3"/>
  <c r="F15" i="3"/>
  <c r="G15" i="3"/>
  <c r="H15" i="3"/>
  <c r="D16" i="3"/>
  <c r="E16" i="3"/>
  <c r="F16" i="3"/>
  <c r="G16" i="3"/>
  <c r="H16" i="3"/>
  <c r="D17" i="3"/>
  <c r="E17" i="3"/>
  <c r="F17" i="3"/>
  <c r="G17" i="3"/>
  <c r="H17" i="3"/>
  <c r="C7" i="6"/>
  <c r="K7" i="6"/>
  <c r="C8" i="6"/>
  <c r="K8" i="6"/>
  <c r="C9" i="6"/>
  <c r="K9" i="6"/>
  <c r="C10" i="6"/>
  <c r="K10" i="6"/>
  <c r="C11" i="6"/>
  <c r="K11" i="6"/>
  <c r="C12" i="6"/>
  <c r="K12" i="6"/>
  <c r="C13" i="6"/>
  <c r="K13" i="6"/>
  <c r="C14" i="6"/>
  <c r="K14" i="6"/>
  <c r="C15" i="6"/>
  <c r="K15" i="6"/>
  <c r="C16" i="6"/>
  <c r="K16" i="6"/>
  <c r="C17" i="6"/>
  <c r="K17" i="6"/>
  <c r="C18" i="6"/>
  <c r="K18" i="6"/>
  <c r="C19" i="6"/>
  <c r="K19" i="6"/>
  <c r="C20" i="6"/>
  <c r="K20" i="6"/>
  <c r="C6" i="6"/>
  <c r="K6" i="6"/>
  <c r="D8" i="5"/>
  <c r="M8" i="5"/>
  <c r="D9" i="5"/>
  <c r="M9" i="5"/>
  <c r="D10" i="5"/>
  <c r="M10" i="5"/>
  <c r="D11" i="5"/>
  <c r="M11" i="5"/>
  <c r="D12" i="5"/>
  <c r="M12" i="5"/>
  <c r="D13" i="5"/>
  <c r="M13" i="5"/>
  <c r="D14" i="5"/>
  <c r="M14" i="5"/>
  <c r="D15" i="5"/>
  <c r="M15" i="5"/>
  <c r="D16" i="5"/>
  <c r="M16" i="5"/>
  <c r="D17" i="5"/>
  <c r="M17" i="5"/>
  <c r="D18" i="5"/>
  <c r="M18" i="5"/>
  <c r="D19" i="5"/>
  <c r="M19" i="5"/>
  <c r="D20" i="5"/>
  <c r="M20" i="5"/>
  <c r="D21" i="5"/>
  <c r="M21" i="5"/>
  <c r="M6" i="5"/>
  <c r="D6" i="5"/>
  <c r="I7" i="9" s="1"/>
  <c r="J7" i="9" s="1"/>
  <c r="C7" i="2"/>
  <c r="K7" i="2"/>
  <c r="C8" i="2"/>
  <c r="K8" i="2"/>
  <c r="C9" i="2"/>
  <c r="K9" i="2"/>
  <c r="C10" i="2"/>
  <c r="K10" i="2"/>
  <c r="C11" i="2"/>
  <c r="K11" i="2"/>
  <c r="C12" i="2"/>
  <c r="K12" i="2"/>
  <c r="C13" i="2"/>
  <c r="K13" i="2"/>
  <c r="C14" i="2"/>
  <c r="K14" i="2"/>
  <c r="C15" i="2"/>
  <c r="K15" i="2"/>
  <c r="C16" i="2"/>
  <c r="K16" i="2"/>
  <c r="C17" i="2"/>
  <c r="K17" i="2"/>
  <c r="C18" i="2"/>
  <c r="K18" i="2"/>
  <c r="C19" i="2"/>
  <c r="K19" i="2"/>
  <c r="C20" i="2"/>
  <c r="K20" i="2"/>
  <c r="C21" i="2"/>
  <c r="K21" i="2"/>
  <c r="K6" i="2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5" i="4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5" i="1"/>
  <c r="C6" i="2"/>
  <c r="H9" i="5" s="1"/>
  <c r="G10" i="3"/>
  <c r="H10" i="3"/>
  <c r="H6" i="3"/>
  <c r="H7" i="3"/>
  <c r="H8" i="3"/>
  <c r="H9" i="3"/>
  <c r="H5" i="3"/>
  <c r="D10" i="3"/>
  <c r="E10" i="3"/>
  <c r="F10" i="3"/>
  <c r="F6" i="3"/>
  <c r="F7" i="3"/>
  <c r="F8" i="3"/>
  <c r="F9" i="3"/>
  <c r="E6" i="3"/>
  <c r="E7" i="3"/>
  <c r="E8" i="3"/>
  <c r="E9" i="3"/>
  <c r="D6" i="3"/>
  <c r="D7" i="3"/>
  <c r="D8" i="3"/>
  <c r="D9" i="3"/>
  <c r="G6" i="3"/>
  <c r="G7" i="3"/>
  <c r="G8" i="3"/>
  <c r="G9" i="3"/>
  <c r="G5" i="3"/>
  <c r="F5" i="3"/>
  <c r="E5" i="3"/>
  <c r="D5" i="3"/>
  <c r="J8" i="9" l="1"/>
  <c r="H17" i="5"/>
  <c r="H31" i="5"/>
  <c r="H8" i="5"/>
  <c r="H19" i="5"/>
  <c r="H11" i="5"/>
  <c r="H26" i="5"/>
  <c r="H18" i="5"/>
  <c r="H10" i="5"/>
  <c r="H29" i="5"/>
  <c r="H24" i="5"/>
  <c r="H16" i="5"/>
  <c r="H27" i="5"/>
  <c r="H25" i="5"/>
  <c r="H23" i="5"/>
  <c r="H15" i="5"/>
  <c r="H30" i="5"/>
  <c r="H22" i="5"/>
  <c r="H14" i="5"/>
  <c r="H21" i="5"/>
  <c r="H13" i="5"/>
  <c r="H28" i="5"/>
  <c r="H20" i="5"/>
  <c r="H12" i="5"/>
  <c r="C24" i="8" a="1"/>
  <c r="G10" i="8"/>
  <c r="F16" i="8"/>
  <c r="F19" i="8" s="1"/>
  <c r="G14" i="6"/>
  <c r="G9" i="6"/>
  <c r="G19" i="6"/>
  <c r="G11" i="6"/>
  <c r="G8" i="6"/>
  <c r="G13" i="6"/>
  <c r="G16" i="6"/>
  <c r="G6" i="6"/>
  <c r="G18" i="6"/>
  <c r="G10" i="6"/>
  <c r="G15" i="6"/>
  <c r="G7" i="6"/>
  <c r="G20" i="6"/>
  <c r="G12" i="6"/>
  <c r="G17" i="6"/>
  <c r="C24" i="8" l="1"/>
  <c r="B24" i="8" s="1"/>
  <c r="G27" i="8" a="1"/>
  <c r="G27" i="8" s="1"/>
  <c r="G26" i="8" a="1"/>
  <c r="G26" i="8" s="1"/>
  <c r="G28" i="8" a="1"/>
  <c r="G28" i="8" s="1"/>
  <c r="G25" i="8" a="1"/>
  <c r="G25" i="8" s="1"/>
  <c r="G24" i="8" a="1"/>
  <c r="G24" i="8" s="1"/>
  <c r="B25" i="8"/>
  <c r="F18" i="8"/>
  <c r="F17" i="8"/>
  <c r="F20" i="8"/>
  <c r="G47" i="8" l="1"/>
  <c r="G49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<sst xmlns="http://schemas.openxmlformats.org/spreadsheetml/2006/main" count="396" uniqueCount="203">
  <si>
    <t>Telephone</t>
  </si>
  <si>
    <t>Adresse</t>
  </si>
  <si>
    <t>Categorie</t>
  </si>
  <si>
    <t>Date</t>
  </si>
  <si>
    <t>Jour</t>
  </si>
  <si>
    <t>Mois</t>
  </si>
  <si>
    <t>Nom_mois</t>
  </si>
  <si>
    <t>Trimestre</t>
  </si>
  <si>
    <t>Annees</t>
  </si>
  <si>
    <t>P001</t>
  </si>
  <si>
    <t>P002</t>
  </si>
  <si>
    <t>P004</t>
  </si>
  <si>
    <t>Remise</t>
  </si>
  <si>
    <t>Stock</t>
  </si>
  <si>
    <t>Nom</t>
  </si>
  <si>
    <t>Pays/Ville</t>
  </si>
  <si>
    <t>email</t>
  </si>
  <si>
    <t>Adresse1</t>
  </si>
  <si>
    <t>Guinee/Connakry</t>
  </si>
  <si>
    <t>ubc@gmail.com</t>
  </si>
  <si>
    <t>Adresse2</t>
  </si>
  <si>
    <t>Adresse3</t>
  </si>
  <si>
    <t>Adresse4</t>
  </si>
  <si>
    <t>Adresse5</t>
  </si>
  <si>
    <t>Adresse6</t>
  </si>
  <si>
    <t>Adresse7</t>
  </si>
  <si>
    <t>Adresse8</t>
  </si>
  <si>
    <t>Adresse9</t>
  </si>
  <si>
    <t>Adresse10</t>
  </si>
  <si>
    <t>Adresse11</t>
  </si>
  <si>
    <t>Adresse12</t>
  </si>
  <si>
    <t>Adresse13</t>
  </si>
  <si>
    <t>Adresse14</t>
  </si>
  <si>
    <t>Adresse15</t>
  </si>
  <si>
    <t>Adresse16</t>
  </si>
  <si>
    <t>Adresse17</t>
  </si>
  <si>
    <t>Adresse18</t>
  </si>
  <si>
    <t>ID Produit</t>
  </si>
  <si>
    <t>Nom Produit</t>
  </si>
  <si>
    <t>Description</t>
  </si>
  <si>
    <t>Sous categorie</t>
  </si>
  <si>
    <t>Prix unitaire</t>
  </si>
  <si>
    <t>Prix Achat</t>
  </si>
  <si>
    <t>Valeur en stock</t>
  </si>
  <si>
    <t>Produit1</t>
  </si>
  <si>
    <t>Desc1</t>
  </si>
  <si>
    <t>Categorie1</t>
  </si>
  <si>
    <t>Sous_cat1</t>
  </si>
  <si>
    <t>Produit2</t>
  </si>
  <si>
    <t>Desc2</t>
  </si>
  <si>
    <t>Categorie2</t>
  </si>
  <si>
    <t>Sous_cat2</t>
  </si>
  <si>
    <t>Produit3</t>
  </si>
  <si>
    <t>Desc3</t>
  </si>
  <si>
    <t>Categorie3</t>
  </si>
  <si>
    <t>Sous_cat3</t>
  </si>
  <si>
    <t>Produit4</t>
  </si>
  <si>
    <t>Desc4</t>
  </si>
  <si>
    <t>Categorie4</t>
  </si>
  <si>
    <t>Sous_cat4</t>
  </si>
  <si>
    <t>Produit5</t>
  </si>
  <si>
    <t>Desc5</t>
  </si>
  <si>
    <t>Categorie5</t>
  </si>
  <si>
    <t>Sous_cat5</t>
  </si>
  <si>
    <t>Produit6</t>
  </si>
  <si>
    <t>Desc6</t>
  </si>
  <si>
    <t>Categorie6</t>
  </si>
  <si>
    <t>Sous_cat6</t>
  </si>
  <si>
    <t>Produit7</t>
  </si>
  <si>
    <t>Desc7</t>
  </si>
  <si>
    <t>Categorie7</t>
  </si>
  <si>
    <t>Sous_cat7</t>
  </si>
  <si>
    <t>Produit8</t>
  </si>
  <si>
    <t>Desc8</t>
  </si>
  <si>
    <t>Categorie8</t>
  </si>
  <si>
    <t>Sous_cat8</t>
  </si>
  <si>
    <t>Produit9</t>
  </si>
  <si>
    <t>Desc9</t>
  </si>
  <si>
    <t>Categorie9</t>
  </si>
  <si>
    <t>Sous_cat9</t>
  </si>
  <si>
    <t>Produit10</t>
  </si>
  <si>
    <t>Desc10</t>
  </si>
  <si>
    <t>Categorie10</t>
  </si>
  <si>
    <t>Sous_cat10</t>
  </si>
  <si>
    <t>Produit11</t>
  </si>
  <si>
    <t>Desc11</t>
  </si>
  <si>
    <t>Categorie11</t>
  </si>
  <si>
    <t>Sous_cat11</t>
  </si>
  <si>
    <t>Produit12</t>
  </si>
  <si>
    <t>Desc12</t>
  </si>
  <si>
    <t>Categorie12</t>
  </si>
  <si>
    <t>Sous_cat12</t>
  </si>
  <si>
    <t>Produit13</t>
  </si>
  <si>
    <t>Desc13</t>
  </si>
  <si>
    <t>Categorie13</t>
  </si>
  <si>
    <t>Sous_cat13</t>
  </si>
  <si>
    <t>Produit14</t>
  </si>
  <si>
    <t>Desc14</t>
  </si>
  <si>
    <t>Categorie14</t>
  </si>
  <si>
    <t>Sous_cat14</t>
  </si>
  <si>
    <t>Produit15</t>
  </si>
  <si>
    <t>Desc15</t>
  </si>
  <si>
    <t>Categorie15</t>
  </si>
  <si>
    <t>Sous_cat15</t>
  </si>
  <si>
    <t>Produit16</t>
  </si>
  <si>
    <t>Desc16</t>
  </si>
  <si>
    <t>Categorie16</t>
  </si>
  <si>
    <t>Sous_cat16</t>
  </si>
  <si>
    <t>ID Commande</t>
  </si>
  <si>
    <t>ID Fournisseur</t>
  </si>
  <si>
    <t>Quantite Commandee</t>
  </si>
  <si>
    <t>Quantite Livree</t>
  </si>
  <si>
    <t>Montant Total</t>
  </si>
  <si>
    <t>Etat Commande</t>
  </si>
  <si>
    <t>F042</t>
  </si>
  <si>
    <t>F035</t>
  </si>
  <si>
    <t>F036</t>
  </si>
  <si>
    <t>F037</t>
  </si>
  <si>
    <t>P003</t>
  </si>
  <si>
    <t>F038</t>
  </si>
  <si>
    <t>F039</t>
  </si>
  <si>
    <t>P005</t>
  </si>
  <si>
    <t>F040</t>
  </si>
  <si>
    <t>P006</t>
  </si>
  <si>
    <t>F041</t>
  </si>
  <si>
    <t>P007</t>
  </si>
  <si>
    <t>P008</t>
  </si>
  <si>
    <t>F043</t>
  </si>
  <si>
    <t>P009</t>
  </si>
  <si>
    <t>F044</t>
  </si>
  <si>
    <t>P010</t>
  </si>
  <si>
    <t>F045</t>
  </si>
  <si>
    <t>P011</t>
  </si>
  <si>
    <t>F046</t>
  </si>
  <si>
    <t>P012</t>
  </si>
  <si>
    <t>F047</t>
  </si>
  <si>
    <t>P013</t>
  </si>
  <si>
    <t>F048</t>
  </si>
  <si>
    <t>P014</t>
  </si>
  <si>
    <t>F049</t>
  </si>
  <si>
    <t>P015</t>
  </si>
  <si>
    <t>ID Vente</t>
  </si>
  <si>
    <t>ID Client</t>
  </si>
  <si>
    <t>Quantité</t>
  </si>
  <si>
    <t>Suffix</t>
  </si>
  <si>
    <t>Produit</t>
  </si>
  <si>
    <t>P</t>
  </si>
  <si>
    <t>Client</t>
  </si>
  <si>
    <t>CL</t>
  </si>
  <si>
    <t>Fournisseur</t>
  </si>
  <si>
    <t>F</t>
  </si>
  <si>
    <t>Vente</t>
  </si>
  <si>
    <t>V</t>
  </si>
  <si>
    <t>Commande</t>
  </si>
  <si>
    <t>CO</t>
  </si>
  <si>
    <t>P0018</t>
  </si>
  <si>
    <t>Produit 18 depuis le formulaire</t>
  </si>
  <si>
    <t>Ceci est une description</t>
  </si>
  <si>
    <t>Categorie18</t>
  </si>
  <si>
    <t>sous categorie 18</t>
  </si>
  <si>
    <t>P0019</t>
  </si>
  <si>
    <t>dkdkkk</t>
  </si>
  <si>
    <t>dklklls</t>
  </si>
  <si>
    <t>kfd</t>
  </si>
  <si>
    <t>kdfl</t>
  </si>
  <si>
    <t>P0020</t>
  </si>
  <si>
    <t>jfldlf</t>
  </si>
  <si>
    <t>jfllkalkd</t>
  </si>
  <si>
    <t>llkfdlf</t>
  </si>
  <si>
    <t>llfdkfl</t>
  </si>
  <si>
    <t>P0021</t>
  </si>
  <si>
    <t>llkflqp</t>
  </si>
  <si>
    <t>fl;d;foioroepof</t>
  </si>
  <si>
    <t>lfdfp</t>
  </si>
  <si>
    <t>kfdlf</t>
  </si>
  <si>
    <t>Prix Unitaire</t>
  </si>
  <si>
    <t>Nr. Com. :</t>
  </si>
  <si>
    <t>Adresses:</t>
  </si>
  <si>
    <t>Fournisseur:</t>
  </si>
  <si>
    <t>Nr</t>
  </si>
  <si>
    <t>Ref Produit</t>
  </si>
  <si>
    <t>Quantite</t>
  </si>
  <si>
    <t>Prix</t>
  </si>
  <si>
    <t>Total</t>
  </si>
  <si>
    <t>Total hors tax</t>
  </si>
  <si>
    <t>Total TTC</t>
  </si>
  <si>
    <t>C0018</t>
  </si>
  <si>
    <t>C0019</t>
  </si>
  <si>
    <t>C0020</t>
  </si>
  <si>
    <t>TVA 20%</t>
  </si>
  <si>
    <t>Pays</t>
  </si>
  <si>
    <t>Ville</t>
  </si>
  <si>
    <t>Bon de commande</t>
  </si>
  <si>
    <t>UBC</t>
  </si>
  <si>
    <t>Guinée</t>
  </si>
  <si>
    <t>Conakry</t>
  </si>
  <si>
    <t>CO0020</t>
  </si>
  <si>
    <t>CO0021</t>
  </si>
  <si>
    <t>No Facture</t>
  </si>
  <si>
    <t>No Commande</t>
  </si>
  <si>
    <t>Prix Total</t>
  </si>
  <si>
    <t>FAC001</t>
  </si>
  <si>
    <t>CO001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</si>
</sst>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_([$GNF]\ * #,##0_);_([$GNF]\ * \(#,##0\);_([$GNF]\ * &quot;-&quot;_);_(@_)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-0.249977111117893"/>
        <bgColor theme="7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theme="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2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2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1" xfId="0" applyBorder="1"/>
    <xf numFmtId="0" fontId="0" fillId="0" borderId="3" xfId="0" applyBorder="1"/>
    <xf numFmtId="0" fontId="3" fillId="0" borderId="3" xfId="0" applyFont="1" applyBorder="1"/>
    <xf numFmtId="0" fontId="0" fillId="0" borderId="5" xfId="0" applyBorder="1"/>
    <xf numFmtId="0" fontId="3" fillId="0" borderId="4" xfId="0" applyFont="1" applyBorder="1" applyAlignment="1">
      <alignment horizontal="center"/>
    </xf>
    <xf numFmtId="44" fontId="0" fillId="0" borderId="0" xfId="1" applyFont="1"/>
    <xf numFmtId="44" fontId="3" fillId="0" borderId="4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166" fontId="0" fillId="0" borderId="0" xfId="1" applyNumberFormat="1" applyFont="1"/>
    <xf numFmtId="166" fontId="3" fillId="0" borderId="4" xfId="1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44" fontId="7" fillId="0" borderId="4" xfId="1" applyFont="1" applyBorder="1"/>
    <xf numFmtId="166" fontId="0" fillId="0" borderId="4" xfId="1" applyNumberFormat="1" applyFont="1" applyBorder="1"/>
    <xf numFmtId="0" fontId="2" fillId="3" borderId="2" xfId="0" applyFont="1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4" fillId="6" borderId="0" xfId="0" applyFont="1" applyFill="1" applyAlignment="1">
      <alignment horizontal="left"/>
    </xf>
    <xf numFmtId="0" fontId="8" fillId="6" borderId="0" xfId="2" applyFont="1" applyFill="1" applyAlignment="1">
      <alignment horizontal="left"/>
    </xf>
    <xf numFmtId="0" fontId="3" fillId="0" borderId="1" xfId="0" applyFont="1" applyBorder="1"/>
    <xf numFmtId="0" fontId="3" fillId="0" borderId="0" xfId="0" applyFont="1"/>
    <xf numFmtId="14" fontId="0" fillId="0" borderId="0" xfId="1" applyNumberFormat="1" applyFont="1"/>
    <xf numFmtId="0" fontId="0" fillId="0" borderId="1" xfId="1" applyNumberFormat="1" applyFont="1" applyBorder="1"/>
    <xf numFmtId="0" fontId="0" fillId="0" borderId="0" xfId="1" applyNumberFormat="1" applyFont="1" applyAlignment="1">
      <alignment horizontal="left"/>
    </xf>
    <xf numFmtId="0" fontId="0" fillId="0" borderId="0" xfId="0" applyNumberFormat="1" applyAlignment="1">
      <alignment horizontal="center"/>
    </xf>
    <xf numFmtId="0" fontId="2" fillId="7" borderId="6" xfId="0" applyFont="1" applyFill="1" applyBorder="1" applyAlignment="1">
      <alignment horizontal="center" vertical="center"/>
    </xf>
    <xf numFmtId="166" fontId="2" fillId="7" borderId="6" xfId="1" applyNumberFormat="1" applyFont="1" applyFill="1" applyBorder="1" applyAlignment="1">
      <alignment horizontal="center" vertical="center"/>
    </xf>
    <xf numFmtId="166" fontId="4" fillId="2" borderId="0" xfId="1" applyNumberFormat="1" applyFont="1" applyFill="1" applyAlignment="1">
      <alignment horizontal="center"/>
    </xf>
  </cellXfs>
  <cellStyles count="3">
    <cellStyle name="Lien hypertexte" xfId="2" builtinId="8"/>
    <cellStyle name="Monétaire" xfId="1" builtinId="4"/>
    <cellStyle name="Normal" xfId="0" builtinId="0"/>
  </cellStyles>
  <dxfs count="7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6" formatCode="_([$GNF]\ * #,##0_);_([$GNF]\ * \(#,##0\);_([$GNF]\ * &quot;-&quot;_);_(@_)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6" formatCode="_([$GNF]\ * #,##0_);_([$GNF]\ * \(#,##0\);_([$GNF]\ * &quot;-&quot;_);_(@_)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9" formatCode="m/d/yyyy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9" formatCode="m/d/yyyy"/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theme="0"/>
        </bottom>
      </border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249977111117893"/>
          <bgColor theme="7" tint="-0.249977111117893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theme="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6350</xdr:rowOff>
    </xdr:from>
    <xdr:to>
      <xdr:col>2</xdr:col>
      <xdr:colOff>927100</xdr:colOff>
      <xdr:row>3</xdr:row>
      <xdr:rowOff>165100</xdr:rowOff>
    </xdr:to>
    <xdr:sp macro="[0]!Ajout_Produi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5E05AA3C-5817-10EA-A27B-8E4D58433E94}"/>
            </a:ext>
          </a:extLst>
        </xdr:cNvPr>
        <xdr:cNvSpPr/>
      </xdr:nvSpPr>
      <xdr:spPr>
        <a:xfrm>
          <a:off x="1536700" y="374650"/>
          <a:ext cx="914400" cy="342900"/>
        </a:xfrm>
        <a:prstGeom prst="roundRect">
          <a:avLst/>
        </a:prstGeom>
        <a:solidFill>
          <a:srgbClr val="002060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Ajouter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361940</xdr:colOff>
      <xdr:row>2</xdr:row>
      <xdr:rowOff>31751</xdr:rowOff>
    </xdr:from>
    <xdr:to>
      <xdr:col>2</xdr:col>
      <xdr:colOff>266700</xdr:colOff>
      <xdr:row>5</xdr:row>
      <xdr:rowOff>146061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96A42E7-53ED-D9B8-D949-76A32D86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40" y="400051"/>
          <a:ext cx="666760" cy="6667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101600</xdr:colOff>
      <xdr:row>5</xdr:row>
      <xdr:rowOff>171450</xdr:rowOff>
    </xdr:from>
    <xdr:to>
      <xdr:col>2</xdr:col>
      <xdr:colOff>590550</xdr:colOff>
      <xdr:row>6</xdr:row>
      <xdr:rowOff>165100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14F7EDE-9FE5-8A95-7E76-D86610E4D85C}"/>
            </a:ext>
          </a:extLst>
        </xdr:cNvPr>
        <xdr:cNvSpPr/>
      </xdr:nvSpPr>
      <xdr:spPr>
        <a:xfrm>
          <a:off x="863600" y="1092200"/>
          <a:ext cx="1250950" cy="177800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 b="1"/>
            <a:t>United Business corparation</a:t>
          </a:r>
        </a:p>
      </xdr:txBody>
    </xdr:sp>
    <xdr:clientData/>
  </xdr:twoCellAnchor>
  <xdr:oneCellAnchor>
    <xdr:from>
      <xdr:col>4</xdr:col>
      <xdr:colOff>321705</xdr:colOff>
      <xdr:row>4</xdr:row>
      <xdr:rowOff>7403</xdr:rowOff>
    </xdr:from>
    <xdr:ext cx="2131545" cy="374077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5985B4-F6A1-3BF0-8F07-0AEC59EDC800}"/>
            </a:ext>
          </a:extLst>
        </xdr:cNvPr>
        <xdr:cNvSpPr/>
      </xdr:nvSpPr>
      <xdr:spPr>
        <a:xfrm>
          <a:off x="3369705" y="744003"/>
          <a:ext cx="2131545" cy="37407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18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BON</a:t>
          </a:r>
          <a:r>
            <a:rPr lang="fr-FR" sz="18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COMMANDE</a:t>
          </a:r>
          <a:endParaRPr lang="fr-FR" sz="1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19050</xdr:colOff>
      <xdr:row>10</xdr:row>
      <xdr:rowOff>50800</xdr:rowOff>
    </xdr:from>
    <xdr:to>
      <xdr:col>3</xdr:col>
      <xdr:colOff>977900</xdr:colOff>
      <xdr:row>13</xdr:row>
      <xdr:rowOff>50800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1CBCECD1-087E-26A4-F1F4-9231D72553E8}"/>
            </a:ext>
          </a:extLst>
        </xdr:cNvPr>
        <xdr:cNvSpPr txBox="1"/>
      </xdr:nvSpPr>
      <xdr:spPr>
        <a:xfrm>
          <a:off x="781050" y="1898650"/>
          <a:ext cx="2381250" cy="552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Ce numero doit apparaitre sur</a:t>
          </a:r>
          <a:r>
            <a:rPr lang="en-US" sz="900" baseline="0"/>
            <a:t> toutes correspondances annexes, les papiers de livraison et facture.</a:t>
          </a:r>
          <a:endParaRPr lang="en-US" sz="9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1F82D2-82DB-4865-AE25-6C2A35F5CFBC}" name="Tableau1" displayName="Tableau1" ref="C4:G22" totalsRowShown="0" headerRowDxfId="69" dataDxfId="68">
  <autoFilter ref="C4:G22" xr:uid="{A11F82D2-82DB-4865-AE25-6C2A35F5CFBC}"/>
  <tableColumns count="5">
    <tableColumn id="1" xr3:uid="{09D56080-4F99-4237-8699-CE6F9E45BC9F}" name="Nom" dataDxfId="67">
      <calculatedColumnFormula>"CL"&amp;TEXT(ROW(C23)-5,"000")</calculatedColumnFormula>
    </tableColumn>
    <tableColumn id="2" xr3:uid="{2DAB39EC-8994-4F8C-AC7F-F3750F7C6DB4}" name="Adresse" dataDxfId="66"/>
    <tableColumn id="3" xr3:uid="{EAEBBC78-1958-478C-AAA8-059E25828E99}" name="Telephone" dataDxfId="65"/>
    <tableColumn id="4" xr3:uid="{CDC4FCF2-D47C-4C40-8345-2EB209DCC5F1}" name="Pays/Ville" dataDxfId="64"/>
    <tableColumn id="5" xr3:uid="{0C53A032-D893-4753-B4A3-51130D1F29C6}" name="email" dataDxfId="63" dataCellStyle="Lien hypertexte"/>
  </tableColumns>
  <tableStyleInfo name="TableStyleDark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1ECD80-4354-41B8-882F-3364E6D10C6B}" name="Tableau2" displayName="Tableau2" ref="C4:G22" totalsRowShown="0" headerRowDxfId="62" dataDxfId="60" headerRowBorderDxfId="61">
  <autoFilter ref="C4:G22" xr:uid="{8E1ECD80-4354-41B8-882F-3364E6D10C6B}"/>
  <tableColumns count="5">
    <tableColumn id="1" xr3:uid="{F63CE0E3-D2B4-4A00-87D9-F312307D789E}" name="Nom" dataDxfId="59">
      <calculatedColumnFormula>"F"&amp;TEXT(ROW(C40)-5,"000")</calculatedColumnFormula>
    </tableColumn>
    <tableColumn id="2" xr3:uid="{26F25B62-49A3-476A-BB9B-8EB6996CBEBE}" name="Adresse" dataDxfId="58"/>
    <tableColumn id="3" xr3:uid="{E7E48213-3B77-442B-8637-6C528B88AF0F}" name="Telephone" dataDxfId="57"/>
    <tableColumn id="4" xr3:uid="{214C3EE7-A352-44E5-A684-22C797F7B831}" name="Pays/Ville" dataDxfId="56"/>
    <tableColumn id="5" xr3:uid="{1F66168B-0A96-4CC0-8625-3F0167DB3C06}" name="email" dataDxfId="55" dataCellStyle="Lien hypertex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B0EA6-152D-4AAB-B73B-E671D4C66A5A}" name="Tableau3" displayName="Tableau3" ref="C5:K25" totalsRowShown="0" headerRowDxfId="54" dataDxfId="53">
  <autoFilter ref="C5:K25" xr:uid="{2F8B0EA6-152D-4AAB-B73B-E671D4C66A5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6BE6CC0-0751-4D7F-8D3B-A1C5AD908B23}" name="ID Produit" dataDxfId="52">
      <calculatedColumnFormula>"P"&amp;TEXT(ROW(C6)-5,"000")</calculatedColumnFormula>
    </tableColumn>
    <tableColumn id="2" xr3:uid="{FF5F2196-9311-41FE-A300-29C1366F6A9C}" name="Nom Produit" dataDxfId="51"/>
    <tableColumn id="3" xr3:uid="{764F1688-5500-4C0F-A904-FB9A83CFEAC2}" name="Description" dataDxfId="50"/>
    <tableColumn id="4" xr3:uid="{C9A4362F-78AE-40BF-9F4F-4E0C9518928B}" name="Categorie" dataDxfId="49"/>
    <tableColumn id="5" xr3:uid="{31F31066-B894-42F1-BAFE-C0AC1E18AA25}" name="Sous categorie" dataDxfId="48"/>
    <tableColumn id="6" xr3:uid="{6A470EDB-5740-4CE7-89E6-F07AA1A07F2D}" name="Prix unitaire" dataDxfId="47"/>
    <tableColumn id="7" xr3:uid="{BA018CD8-8DA6-4489-97FF-CD06D1F8ABEE}" name="Prix Achat" dataDxfId="46"/>
    <tableColumn id="8" xr3:uid="{C7B6E651-F2E4-4153-B638-0B8C24056FF7}" name="Stock" dataDxfId="45"/>
    <tableColumn id="9" xr3:uid="{F84A485C-4576-4126-8F3A-B6FFB0C288E9}" name="Valeur en stock" dataDxfId="44">
      <calculatedColumnFormula>H6*J6</calculatedColumnFormula>
    </tableColumn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91B0EF-E18F-4202-85D2-149BE9BD9A77}" name="Tableau4" displayName="Tableau4" ref="C4:H369" totalsRowShown="0" headerRowDxfId="43" dataDxfId="42">
  <autoFilter ref="C4:H369" xr:uid="{8491B0EF-E18F-4202-85D2-149BE9BD9A77}"/>
  <tableColumns count="6">
    <tableColumn id="1" xr3:uid="{B1EFDB8C-82EC-48AA-99AD-F7DF392E18AF}" name="Date" dataDxfId="41"/>
    <tableColumn id="2" xr3:uid="{79DA7E84-E211-4A16-8D51-F85A357829D2}" name="Jour" dataDxfId="40">
      <calculatedColumnFormula>DAY(C5)</calculatedColumnFormula>
    </tableColumn>
    <tableColumn id="3" xr3:uid="{F262CDB6-04CE-4804-BD03-1F1EBC5F8AB4}" name="Mois" dataDxfId="39">
      <calculatedColumnFormula>MONTH(C5)</calculatedColumnFormula>
    </tableColumn>
    <tableColumn id="4" xr3:uid="{3B93E3FE-4B19-493B-9FC2-F81F92DE3A46}" name="Nom_mois" dataDxfId="38">
      <calculatedColumnFormula>TEXT(C5, "mmm")</calculatedColumnFormula>
    </tableColumn>
    <tableColumn id="5" xr3:uid="{2FDEC56F-465B-4DA8-A71E-34C69DA0C9F5}" name="Trimestre" dataDxfId="37">
      <calculatedColumnFormula>"T"&amp;INT((MONTH(C5)-1)/3)+1</calculatedColumnFormula>
    </tableColumn>
    <tableColumn id="6" xr3:uid="{3FE1A88E-F465-4B77-A284-C379A02824A6}" name="Annees" dataDxfId="36">
      <calculatedColumnFormula>YEAR(C5)</calculatedColumnFormula>
    </tableColumn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A8105D-0CC8-4D7E-99C2-61017E438AE6}" name="Tableau5" displayName="Tableau5" ref="D5:M33" totalsRowShown="0" headerRowDxfId="35" dataDxfId="34">
  <autoFilter ref="D5:M33" xr:uid="{B6A8105D-0CC8-4D7E-99C2-61017E438A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A84E3F32-774B-4D80-BF47-5DFF34CFE7BD}" name="ID Commande" dataDxfId="33">
      <calculatedColumnFormula>"CO"&amp;TEXT(ROW(C6)-5,"000")</calculatedColumnFormula>
    </tableColumn>
    <tableColumn id="2" xr3:uid="{3A95C16C-D53A-4FE8-8658-CD4D7516B3BA}" name="Date" dataDxfId="32"/>
    <tableColumn id="3" xr3:uid="{9EE06A79-A301-463A-B03E-F217E06B58D5}" name="ID Fournisseur" dataDxfId="31"/>
    <tableColumn id="4" xr3:uid="{E27B87C1-E8BF-489F-82FF-D51C3935F886}" name="ID Produit" dataDxfId="30"/>
    <tableColumn id="10" xr3:uid="{08A88EE1-424C-414D-9F1A-4E3E9863B376}" name="Nom Produit" dataDxfId="29">
      <calculatedColumnFormula>VLOOKUP(Tableau5[[#This Row],[ID Produit]],Tableau3[[#All],[ID Produit]:[Nom Produit]],2,FALSE)</calculatedColumnFormula>
    </tableColumn>
    <tableColumn id="5" xr3:uid="{6FF5A703-DEDE-42E0-859C-D47C7F34CB0D}" name="Quantite Commandee" dataDxfId="28"/>
    <tableColumn id="6" xr3:uid="{6D700C0D-45C7-4780-AFB3-7E3B79820763}" name="Prix Unitaire" dataDxfId="27" dataCellStyle="Monétaire"/>
    <tableColumn id="7" xr3:uid="{BD8A6EA0-ADDD-45E5-B40B-8D19F6206004}" name="Quantite Livree" dataDxfId="26"/>
    <tableColumn id="8" xr3:uid="{CBF2EA3D-7CC1-43BA-AB2C-602BB3C91DBC}" name="Montant Total" dataDxfId="25" dataCellStyle="Monétaire">
      <calculatedColumnFormula>Tableau5[[#This Row],[Quantite Commandee]]*Tableau5[[#This Row],[Prix Unitaire]]</calculatedColumnFormula>
    </tableColumn>
    <tableColumn id="9" xr3:uid="{35067355-C48D-4873-B2C5-2D1D4C101867}" name="Etat Commande" dataDxfId="24">
      <calculatedColumnFormula>IF(Tableau5[[#This Row],[Quantite Commandee]]=Tableau5[[#This Row],[Prix Unitaire]],"Livrée", "Non livrée")</calculatedColumnFormula>
    </tableColumn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240921-E5F8-4871-B721-2EBB4A7F4689}" name="Tableau7" displayName="Tableau7" ref="C6:J8" totalsRowShown="0" headerRowDxfId="3" dataDxfId="4" headerRowBorderDxfId="11">
  <autoFilter ref="C6:J8" xr:uid="{54240921-E5F8-4871-B721-2EBB4A7F46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220BC5-6EBF-4BA6-86F8-CD6D29E02056}" name="No Facture" dataDxfId="10">
      <calculatedColumnFormula>"CO"&amp;TEXT(ROW(B7)-5,"000")</calculatedColumnFormula>
    </tableColumn>
    <tableColumn id="2" xr3:uid="{1CC63832-DE1B-47F0-9911-F0B6527501C6}" name="No Commande" dataDxfId="9"/>
    <tableColumn id="3" xr3:uid="{D509386C-7F84-47FA-B0C6-2A23EACCAE48}" name="ID Fournisseur" dataDxfId="8"/>
    <tableColumn id="4" xr3:uid="{BA25030B-20B4-42DE-9F17-C82AD48DEF2A}" name="ID Produit" dataDxfId="7"/>
    <tableColumn id="5" xr3:uid="{38AF1F38-9694-43F2-A11D-372C48222CED}" name="Nom Produit" dataDxfId="2">
      <calculatedColumnFormula>VLOOKUP(F7,Tableau3[[ID Produit]:[Nom Produit]],2,FALSE)</calculatedColumnFormula>
    </tableColumn>
    <tableColumn id="6" xr3:uid="{39075262-B2D1-4BE2-8BFD-2673A8AC21BB}" name="Quantite Livree" dataDxfId="6"/>
    <tableColumn id="7" xr3:uid="{F3A3C1C9-F532-46E2-943D-86D4F315B309}" name="Prix Unitaire" dataDxfId="1" dataCellStyle="Monétaire">
      <calculatedColumnFormula>IF(AND(Tableau7[[#This Row],[No Commande]]=F_Commandes!D6,Tableau7[[#This Row],[ID Produit]]=F_Commandes!G6),F_Commandes!I6,0)</calculatedColumnFormula>
    </tableColumn>
    <tableColumn id="8" xr3:uid="{0FC1BE2F-1C40-4EDE-830A-69EF9DC5DED6}" name="Prix Total" dataDxfId="5" dataCellStyle="Monétaire">
      <calculatedColumnFormula>H7*I7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7DFF27-A221-453E-8CEE-D7FD3731D22C}" name="Tableau6" displayName="Tableau6" ref="C5:K20" totalsRowShown="0" headerRowDxfId="23" dataDxfId="21" headerRowBorderDxfId="22">
  <autoFilter ref="C5:K20" xr:uid="{D17DFF27-A221-453E-8CEE-D7FD3731D2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5058180-0A03-4E16-BF67-F2B1F19C6A3D}" name="ID Vente" dataDxfId="20">
      <calculatedColumnFormula>"V"&amp;TEXT(ROW(B6)-5,"000")</calculatedColumnFormula>
    </tableColumn>
    <tableColumn id="2" xr3:uid="{D0327037-E890-45B8-97DF-D9BE18D621A0}" name="Date" dataDxfId="19"/>
    <tableColumn id="3" xr3:uid="{787BE6A8-64BC-497F-BAA4-19F6F54BA1A7}" name="ID Client" dataDxfId="18"/>
    <tableColumn id="4" xr3:uid="{34AE7980-A8F8-47CD-9E9D-95BCFF439B4A}" name="ID Produit" dataDxfId="17"/>
    <tableColumn id="10" xr3:uid="{24E9EA98-9143-4AC2-AFC7-DE9A770E343D}" name="Nom Produit" dataDxfId="16">
      <calculatedColumnFormula>VLOOKUP(Tableau6[[#This Row],[ID Produit]],Tableau3[[#All],[ID Produit]:[Nom Produit]],2,FALSE)</calculatedColumnFormula>
    </tableColumn>
    <tableColumn id="5" xr3:uid="{5A954B53-A4DA-414D-84AC-CB16F5C221CE}" name="Quantité" dataDxfId="15"/>
    <tableColumn id="6" xr3:uid="{6FEF5620-9D43-4BC9-8955-AEFF16DAC74C}" name="Prix unitaire" dataDxfId="14"/>
    <tableColumn id="7" xr3:uid="{CE293B38-504E-447B-9C43-345A7166D429}" name="Remise" dataDxfId="13"/>
    <tableColumn id="8" xr3:uid="{5CE65E6F-773D-4C4E-AB4D-1CBDB8E069C0}" name="Montant Total" dataDxfId="12">
      <calculatedColumnFormula>Tableau5[[#This Row],[Quantite Commandee]]*Tableau5[[#This Row],[Quantite Livree]]</calculatedColumnFormula>
    </tableColumn>
  </tableColumns>
  <tableStyleInfo name="TableStyleMedium2" showFirstColumn="0" showLastColumn="1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ubc@gmail.com" TargetMode="External"/><Relationship Id="rId13" Type="http://schemas.openxmlformats.org/officeDocument/2006/relationships/hyperlink" Target="mailto:ubc@gmail.com" TargetMode="External"/><Relationship Id="rId18" Type="http://schemas.openxmlformats.org/officeDocument/2006/relationships/hyperlink" Target="mailto:ubc@gmail.com" TargetMode="External"/><Relationship Id="rId3" Type="http://schemas.openxmlformats.org/officeDocument/2006/relationships/hyperlink" Target="mailto:ubc@gmail.com" TargetMode="External"/><Relationship Id="rId7" Type="http://schemas.openxmlformats.org/officeDocument/2006/relationships/hyperlink" Target="mailto:ubc@gmail.com" TargetMode="External"/><Relationship Id="rId12" Type="http://schemas.openxmlformats.org/officeDocument/2006/relationships/hyperlink" Target="mailto:ubc@gmail.com" TargetMode="External"/><Relationship Id="rId17" Type="http://schemas.openxmlformats.org/officeDocument/2006/relationships/hyperlink" Target="mailto:ubc@gmail.com" TargetMode="External"/><Relationship Id="rId2" Type="http://schemas.openxmlformats.org/officeDocument/2006/relationships/hyperlink" Target="mailto:ubc@gmail.com" TargetMode="External"/><Relationship Id="rId16" Type="http://schemas.openxmlformats.org/officeDocument/2006/relationships/hyperlink" Target="mailto:ubc@gmail.com" TargetMode="External"/><Relationship Id="rId1" Type="http://schemas.openxmlformats.org/officeDocument/2006/relationships/hyperlink" Target="mailto:ubc@gmail.com" TargetMode="External"/><Relationship Id="rId6" Type="http://schemas.openxmlformats.org/officeDocument/2006/relationships/hyperlink" Target="mailto:ubc@gmail.com" TargetMode="External"/><Relationship Id="rId11" Type="http://schemas.openxmlformats.org/officeDocument/2006/relationships/hyperlink" Target="mailto:ubc@gmail.com" TargetMode="External"/><Relationship Id="rId5" Type="http://schemas.openxmlformats.org/officeDocument/2006/relationships/hyperlink" Target="mailto:ubc@gmail.com" TargetMode="External"/><Relationship Id="rId15" Type="http://schemas.openxmlformats.org/officeDocument/2006/relationships/hyperlink" Target="mailto:ubc@gmail.com" TargetMode="External"/><Relationship Id="rId10" Type="http://schemas.openxmlformats.org/officeDocument/2006/relationships/hyperlink" Target="mailto:ubc@gmail.com" TargetMode="External"/><Relationship Id="rId19" Type="http://schemas.openxmlformats.org/officeDocument/2006/relationships/table" Target="../tables/table1.xml"/><Relationship Id="rId4" Type="http://schemas.openxmlformats.org/officeDocument/2006/relationships/hyperlink" Target="mailto:ubc@gmail.com" TargetMode="External"/><Relationship Id="rId9" Type="http://schemas.openxmlformats.org/officeDocument/2006/relationships/hyperlink" Target="mailto:ubc@gmail.com" TargetMode="External"/><Relationship Id="rId14" Type="http://schemas.openxmlformats.org/officeDocument/2006/relationships/hyperlink" Target="mailto:ubc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ubc@gmail.com" TargetMode="External"/><Relationship Id="rId13" Type="http://schemas.openxmlformats.org/officeDocument/2006/relationships/hyperlink" Target="mailto:ubc@gmail.com" TargetMode="External"/><Relationship Id="rId18" Type="http://schemas.openxmlformats.org/officeDocument/2006/relationships/hyperlink" Target="mailto:ubc@gmail.com" TargetMode="External"/><Relationship Id="rId3" Type="http://schemas.openxmlformats.org/officeDocument/2006/relationships/hyperlink" Target="mailto:ubc@gmail.com" TargetMode="External"/><Relationship Id="rId7" Type="http://schemas.openxmlformats.org/officeDocument/2006/relationships/hyperlink" Target="mailto:ubc@gmail.com" TargetMode="External"/><Relationship Id="rId12" Type="http://schemas.openxmlformats.org/officeDocument/2006/relationships/hyperlink" Target="mailto:ubc@gmail.com" TargetMode="External"/><Relationship Id="rId17" Type="http://schemas.openxmlformats.org/officeDocument/2006/relationships/hyperlink" Target="mailto:ubc@gmail.com" TargetMode="External"/><Relationship Id="rId2" Type="http://schemas.openxmlformats.org/officeDocument/2006/relationships/hyperlink" Target="mailto:ubc@gmail.com" TargetMode="External"/><Relationship Id="rId16" Type="http://schemas.openxmlformats.org/officeDocument/2006/relationships/hyperlink" Target="mailto:ubc@gmail.com" TargetMode="External"/><Relationship Id="rId1" Type="http://schemas.openxmlformats.org/officeDocument/2006/relationships/hyperlink" Target="mailto:ubc@gmail.com" TargetMode="External"/><Relationship Id="rId6" Type="http://schemas.openxmlformats.org/officeDocument/2006/relationships/hyperlink" Target="mailto:ubc@gmail.com" TargetMode="External"/><Relationship Id="rId11" Type="http://schemas.openxmlformats.org/officeDocument/2006/relationships/hyperlink" Target="mailto:ubc@gmail.com" TargetMode="External"/><Relationship Id="rId5" Type="http://schemas.openxmlformats.org/officeDocument/2006/relationships/hyperlink" Target="mailto:ubc@gmail.com" TargetMode="External"/><Relationship Id="rId15" Type="http://schemas.openxmlformats.org/officeDocument/2006/relationships/hyperlink" Target="mailto:ubc@gmail.com" TargetMode="External"/><Relationship Id="rId10" Type="http://schemas.openxmlformats.org/officeDocument/2006/relationships/hyperlink" Target="mailto:ubc@gmail.com" TargetMode="External"/><Relationship Id="rId19" Type="http://schemas.openxmlformats.org/officeDocument/2006/relationships/table" Target="../tables/table2.xml"/><Relationship Id="rId4" Type="http://schemas.openxmlformats.org/officeDocument/2006/relationships/hyperlink" Target="mailto:ubc@gmail.com" TargetMode="External"/><Relationship Id="rId9" Type="http://schemas.openxmlformats.org/officeDocument/2006/relationships/hyperlink" Target="mailto:ubc@gmail.com" TargetMode="External"/><Relationship Id="rId14" Type="http://schemas.openxmlformats.org/officeDocument/2006/relationships/hyperlink" Target="mailto:ubc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ub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D3815-9043-4836-8EF6-0EFA1D8B289B}">
  <sheetPr codeName="Feuil1"/>
  <dimension ref="C4:K22"/>
  <sheetViews>
    <sheetView topLeftCell="A2" workbookViewId="0">
      <selection activeCell="B17" sqref="B17"/>
    </sheetView>
  </sheetViews>
  <sheetFormatPr baseColWidth="10" defaultRowHeight="14.5" x14ac:dyDescent="0.35"/>
  <cols>
    <col min="3" max="7" width="19.1796875" style="2" customWidth="1"/>
  </cols>
  <sheetData>
    <row r="4" spans="3:11" s="1" customFormat="1" ht="22" customHeight="1" x14ac:dyDescent="0.35">
      <c r="C4" s="2" t="s">
        <v>14</v>
      </c>
      <c r="D4" s="2" t="s">
        <v>1</v>
      </c>
      <c r="E4" s="2" t="s">
        <v>0</v>
      </c>
      <c r="F4" s="2" t="s">
        <v>15</v>
      </c>
      <c r="G4" s="2" t="s">
        <v>16</v>
      </c>
      <c r="H4" s="2"/>
      <c r="I4" s="2"/>
      <c r="J4" s="2"/>
      <c r="K4" s="2"/>
    </row>
    <row r="5" spans="3:11" x14ac:dyDescent="0.35">
      <c r="C5" s="2" t="str">
        <f>"CL"&amp;TEXT(ROW(C23)-5,"000")</f>
        <v>CL018</v>
      </c>
      <c r="D5" s="2" t="s">
        <v>17</v>
      </c>
      <c r="E5" s="2">
        <v>624965196</v>
      </c>
      <c r="F5" s="2" t="s">
        <v>18</v>
      </c>
      <c r="G5" s="3" t="s">
        <v>19</v>
      </c>
    </row>
    <row r="6" spans="3:11" x14ac:dyDescent="0.35">
      <c r="C6" s="2" t="str">
        <f t="shared" ref="C6:C22" si="0">"CL"&amp;TEXT(ROW(C24)-5,"000")</f>
        <v>CL019</v>
      </c>
      <c r="D6" s="2" t="s">
        <v>20</v>
      </c>
      <c r="E6" s="2">
        <v>624965197</v>
      </c>
      <c r="F6" s="2" t="s">
        <v>18</v>
      </c>
      <c r="G6" s="3" t="s">
        <v>19</v>
      </c>
    </row>
    <row r="7" spans="3:11" x14ac:dyDescent="0.35">
      <c r="C7" s="2" t="str">
        <f t="shared" si="0"/>
        <v>CL020</v>
      </c>
      <c r="D7" s="2" t="s">
        <v>21</v>
      </c>
      <c r="E7" s="2">
        <v>624965198</v>
      </c>
      <c r="F7" s="2" t="s">
        <v>18</v>
      </c>
      <c r="G7" s="3" t="s">
        <v>19</v>
      </c>
    </row>
    <row r="8" spans="3:11" x14ac:dyDescent="0.35">
      <c r="C8" s="2" t="str">
        <f t="shared" si="0"/>
        <v>CL021</v>
      </c>
      <c r="D8" s="2" t="s">
        <v>22</v>
      </c>
      <c r="E8" s="2">
        <v>624965199</v>
      </c>
      <c r="F8" s="2" t="s">
        <v>18</v>
      </c>
      <c r="G8" s="3" t="s">
        <v>19</v>
      </c>
    </row>
    <row r="9" spans="3:11" x14ac:dyDescent="0.35">
      <c r="C9" s="2" t="str">
        <f t="shared" si="0"/>
        <v>CL022</v>
      </c>
      <c r="D9" s="2" t="s">
        <v>23</v>
      </c>
      <c r="E9" s="2">
        <v>624965200</v>
      </c>
      <c r="F9" s="2" t="s">
        <v>18</v>
      </c>
      <c r="G9" s="3" t="s">
        <v>19</v>
      </c>
    </row>
    <row r="10" spans="3:11" x14ac:dyDescent="0.35">
      <c r="C10" s="2" t="str">
        <f t="shared" si="0"/>
        <v>CL023</v>
      </c>
      <c r="D10" s="2" t="s">
        <v>24</v>
      </c>
      <c r="E10" s="2">
        <v>624965201</v>
      </c>
      <c r="F10" s="2" t="s">
        <v>18</v>
      </c>
      <c r="G10" s="3" t="s">
        <v>19</v>
      </c>
    </row>
    <row r="11" spans="3:11" x14ac:dyDescent="0.35">
      <c r="C11" s="2" t="str">
        <f t="shared" si="0"/>
        <v>CL024</v>
      </c>
      <c r="D11" s="2" t="s">
        <v>25</v>
      </c>
      <c r="E11" s="2">
        <v>624965202</v>
      </c>
      <c r="F11" s="2" t="s">
        <v>18</v>
      </c>
      <c r="G11" s="3" t="s">
        <v>19</v>
      </c>
    </row>
    <row r="12" spans="3:11" x14ac:dyDescent="0.35">
      <c r="C12" s="2" t="str">
        <f t="shared" si="0"/>
        <v>CL025</v>
      </c>
      <c r="D12" s="2" t="s">
        <v>26</v>
      </c>
      <c r="E12" s="2">
        <v>624965203</v>
      </c>
      <c r="F12" s="2" t="s">
        <v>18</v>
      </c>
      <c r="G12" s="3" t="s">
        <v>19</v>
      </c>
    </row>
    <row r="13" spans="3:11" x14ac:dyDescent="0.35">
      <c r="C13" s="2" t="str">
        <f t="shared" si="0"/>
        <v>CL026</v>
      </c>
      <c r="D13" s="2" t="s">
        <v>27</v>
      </c>
      <c r="E13" s="2">
        <v>624965204</v>
      </c>
      <c r="F13" s="2" t="s">
        <v>18</v>
      </c>
      <c r="G13" s="3" t="s">
        <v>19</v>
      </c>
    </row>
    <row r="14" spans="3:11" x14ac:dyDescent="0.35">
      <c r="C14" s="2" t="str">
        <f t="shared" si="0"/>
        <v>CL027</v>
      </c>
      <c r="D14" s="2" t="s">
        <v>28</v>
      </c>
      <c r="E14" s="2">
        <v>624965205</v>
      </c>
      <c r="F14" s="2" t="s">
        <v>18</v>
      </c>
      <c r="G14" s="3" t="s">
        <v>19</v>
      </c>
    </row>
    <row r="15" spans="3:11" x14ac:dyDescent="0.35">
      <c r="C15" s="2" t="str">
        <f t="shared" si="0"/>
        <v>CL028</v>
      </c>
      <c r="D15" s="2" t="s">
        <v>29</v>
      </c>
      <c r="E15" s="2">
        <v>624965206</v>
      </c>
      <c r="F15" s="2" t="s">
        <v>18</v>
      </c>
      <c r="G15" s="3" t="s">
        <v>19</v>
      </c>
    </row>
    <row r="16" spans="3:11" x14ac:dyDescent="0.35">
      <c r="C16" s="2" t="str">
        <f t="shared" si="0"/>
        <v>CL029</v>
      </c>
      <c r="D16" s="2" t="s">
        <v>30</v>
      </c>
      <c r="E16" s="2">
        <v>624965207</v>
      </c>
      <c r="F16" s="2" t="s">
        <v>18</v>
      </c>
      <c r="G16" s="3" t="s">
        <v>19</v>
      </c>
    </row>
    <row r="17" spans="3:7" x14ac:dyDescent="0.35">
      <c r="C17" s="2" t="str">
        <f t="shared" si="0"/>
        <v>CL030</v>
      </c>
      <c r="D17" s="2" t="s">
        <v>31</v>
      </c>
      <c r="E17" s="2">
        <v>624965208</v>
      </c>
      <c r="F17" s="2" t="s">
        <v>18</v>
      </c>
      <c r="G17" s="3" t="s">
        <v>19</v>
      </c>
    </row>
    <row r="18" spans="3:7" x14ac:dyDescent="0.35">
      <c r="C18" s="2" t="str">
        <f t="shared" si="0"/>
        <v>CL031</v>
      </c>
      <c r="D18" s="2" t="s">
        <v>32</v>
      </c>
      <c r="E18" s="2">
        <v>624965209</v>
      </c>
      <c r="F18" s="2" t="s">
        <v>18</v>
      </c>
      <c r="G18" s="3" t="s">
        <v>19</v>
      </c>
    </row>
    <row r="19" spans="3:7" x14ac:dyDescent="0.35">
      <c r="C19" s="2" t="str">
        <f t="shared" si="0"/>
        <v>CL032</v>
      </c>
      <c r="D19" s="2" t="s">
        <v>33</v>
      </c>
      <c r="E19" s="2">
        <v>624965210</v>
      </c>
      <c r="F19" s="2" t="s">
        <v>18</v>
      </c>
      <c r="G19" s="3" t="s">
        <v>19</v>
      </c>
    </row>
    <row r="20" spans="3:7" x14ac:dyDescent="0.35">
      <c r="C20" s="2" t="str">
        <f t="shared" si="0"/>
        <v>CL033</v>
      </c>
      <c r="D20" s="2" t="s">
        <v>34</v>
      </c>
      <c r="E20" s="2">
        <v>624965211</v>
      </c>
      <c r="F20" s="2" t="s">
        <v>18</v>
      </c>
      <c r="G20" s="3" t="s">
        <v>19</v>
      </c>
    </row>
    <row r="21" spans="3:7" x14ac:dyDescent="0.35">
      <c r="C21" s="2" t="str">
        <f t="shared" si="0"/>
        <v>CL034</v>
      </c>
      <c r="D21" s="2" t="s">
        <v>35</v>
      </c>
      <c r="E21" s="2">
        <v>624965212</v>
      </c>
      <c r="F21" s="2" t="s">
        <v>18</v>
      </c>
      <c r="G21" s="3" t="s">
        <v>19</v>
      </c>
    </row>
    <row r="22" spans="3:7" x14ac:dyDescent="0.35">
      <c r="C22" s="2" t="str">
        <f t="shared" si="0"/>
        <v>CL035</v>
      </c>
      <c r="D22" s="2" t="s">
        <v>36</v>
      </c>
      <c r="E22" s="2">
        <v>624965213</v>
      </c>
      <c r="F22" s="2" t="s">
        <v>18</v>
      </c>
      <c r="G22" s="3" t="s">
        <v>19</v>
      </c>
    </row>
  </sheetData>
  <phoneticPr fontId="6" type="noConversion"/>
  <hyperlinks>
    <hyperlink ref="G5" r:id="rId1" xr:uid="{372BC4B7-50A6-427D-9842-D89D803340AE}"/>
    <hyperlink ref="G6" r:id="rId2" xr:uid="{454D7AFB-F6ED-4873-8BFF-17613F0EE345}"/>
    <hyperlink ref="G7" r:id="rId3" xr:uid="{4ABE0EB4-9B4A-4B46-A270-CE589ADE8A52}"/>
    <hyperlink ref="G8" r:id="rId4" xr:uid="{C5B01116-4729-41C9-8BFC-E45745D3A5BF}"/>
    <hyperlink ref="G9" r:id="rId5" xr:uid="{CC2053D7-676C-44E1-867D-666A4ACFFD09}"/>
    <hyperlink ref="G10" r:id="rId6" xr:uid="{DFA50DC6-7F68-4EC1-91BE-DB247E7571A2}"/>
    <hyperlink ref="G11" r:id="rId7" xr:uid="{055495EC-E8E5-4A44-B3F2-B015AFFDCAC4}"/>
    <hyperlink ref="G12" r:id="rId8" xr:uid="{36A38C5F-8BC9-4548-BDDF-5B59FA0B4B31}"/>
    <hyperlink ref="G13" r:id="rId9" xr:uid="{3F6EE530-2FB9-4838-9D3E-DEE9FD861B2A}"/>
    <hyperlink ref="G14" r:id="rId10" xr:uid="{7D2368BD-A419-4B31-BE81-90FD1662F9B1}"/>
    <hyperlink ref="G15" r:id="rId11" xr:uid="{D915F591-E3C5-4C1E-BD27-7E9D27C36BF1}"/>
    <hyperlink ref="G16" r:id="rId12" xr:uid="{3CDA1092-BA40-4559-8315-4988AF573A1F}"/>
    <hyperlink ref="G17" r:id="rId13" xr:uid="{CFB07AC8-57B3-4CF5-A94E-2CD2D16D1E2D}"/>
    <hyperlink ref="G18" r:id="rId14" xr:uid="{DC124837-7E0F-4831-83D2-06EEACB56E8E}"/>
    <hyperlink ref="G19" r:id="rId15" xr:uid="{97E1ED13-92F1-46CB-8518-65C74BB79DF0}"/>
    <hyperlink ref="G20" r:id="rId16" xr:uid="{00E04AD3-D13D-476F-B51C-69C198EC19A4}"/>
    <hyperlink ref="G21" r:id="rId17" xr:uid="{A7DBD71B-83A0-4DB3-86D5-DCB85F74F560}"/>
    <hyperlink ref="G22" r:id="rId18" xr:uid="{F64FBF43-0464-421C-8D90-35B24479F32F}"/>
  </hyperlinks>
  <pageMargins left="0.7" right="0.7" top="0.75" bottom="0.75" header="0.3" footer="0.3"/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E105-80E2-46B4-BA41-1FBB91E179DB}">
  <sheetPr codeName="Feuil2"/>
  <dimension ref="C4:K22"/>
  <sheetViews>
    <sheetView topLeftCell="A4" workbookViewId="0">
      <selection activeCell="B15" sqref="B15"/>
    </sheetView>
  </sheetViews>
  <sheetFormatPr baseColWidth="10" defaultRowHeight="14.5" x14ac:dyDescent="0.35"/>
  <cols>
    <col min="3" max="7" width="20.08984375" customWidth="1"/>
  </cols>
  <sheetData>
    <row r="4" spans="3:11" s="1" customFormat="1" ht="22" customHeight="1" x14ac:dyDescent="0.35">
      <c r="C4" s="2" t="s">
        <v>14</v>
      </c>
      <c r="D4" s="2" t="s">
        <v>1</v>
      </c>
      <c r="E4" s="2" t="s">
        <v>0</v>
      </c>
      <c r="F4" s="2" t="s">
        <v>15</v>
      </c>
      <c r="G4" s="2" t="s">
        <v>16</v>
      </c>
      <c r="H4" s="2"/>
      <c r="I4" s="2"/>
      <c r="J4" s="2"/>
      <c r="K4" s="2"/>
    </row>
    <row r="5" spans="3:11" x14ac:dyDescent="0.35">
      <c r="C5" s="4" t="str">
        <f>"F"&amp;TEXT(ROW(C40)-5,"000")</f>
        <v>F035</v>
      </c>
      <c r="D5" s="4" t="s">
        <v>17</v>
      </c>
      <c r="E5" s="4">
        <v>624965196</v>
      </c>
      <c r="F5" s="4" t="s">
        <v>18</v>
      </c>
      <c r="G5" s="5" t="s">
        <v>19</v>
      </c>
    </row>
    <row r="6" spans="3:11" x14ac:dyDescent="0.35">
      <c r="C6" s="4" t="str">
        <f t="shared" ref="C6:C22" si="0">"F"&amp;TEXT(ROW(C41)-5,"000")</f>
        <v>F036</v>
      </c>
      <c r="D6" s="4" t="s">
        <v>20</v>
      </c>
      <c r="E6" s="4">
        <v>624965197</v>
      </c>
      <c r="F6" s="4" t="s">
        <v>18</v>
      </c>
      <c r="G6" s="5" t="s">
        <v>19</v>
      </c>
    </row>
    <row r="7" spans="3:11" x14ac:dyDescent="0.35">
      <c r="C7" s="4" t="str">
        <f t="shared" si="0"/>
        <v>F037</v>
      </c>
      <c r="D7" s="4" t="s">
        <v>21</v>
      </c>
      <c r="E7" s="4">
        <v>624965198</v>
      </c>
      <c r="F7" s="4" t="s">
        <v>18</v>
      </c>
      <c r="G7" s="5" t="s">
        <v>19</v>
      </c>
    </row>
    <row r="8" spans="3:11" x14ac:dyDescent="0.35">
      <c r="C8" s="4" t="str">
        <f t="shared" si="0"/>
        <v>F038</v>
      </c>
      <c r="D8" s="4" t="s">
        <v>22</v>
      </c>
      <c r="E8" s="4">
        <v>624965199</v>
      </c>
      <c r="F8" s="4" t="s">
        <v>18</v>
      </c>
      <c r="G8" s="5" t="s">
        <v>19</v>
      </c>
    </row>
    <row r="9" spans="3:11" x14ac:dyDescent="0.35">
      <c r="C9" s="4" t="str">
        <f t="shared" si="0"/>
        <v>F039</v>
      </c>
      <c r="D9" s="4" t="s">
        <v>23</v>
      </c>
      <c r="E9" s="4">
        <v>624965200</v>
      </c>
      <c r="F9" s="4" t="s">
        <v>18</v>
      </c>
      <c r="G9" s="5" t="s">
        <v>19</v>
      </c>
    </row>
    <row r="10" spans="3:11" x14ac:dyDescent="0.35">
      <c r="C10" s="4" t="str">
        <f t="shared" si="0"/>
        <v>F040</v>
      </c>
      <c r="D10" s="4" t="s">
        <v>24</v>
      </c>
      <c r="E10" s="4">
        <v>624965201</v>
      </c>
      <c r="F10" s="4" t="s">
        <v>18</v>
      </c>
      <c r="G10" s="5" t="s">
        <v>19</v>
      </c>
    </row>
    <row r="11" spans="3:11" x14ac:dyDescent="0.35">
      <c r="C11" s="4" t="str">
        <f t="shared" si="0"/>
        <v>F041</v>
      </c>
      <c r="D11" s="4" t="s">
        <v>25</v>
      </c>
      <c r="E11" s="4">
        <v>624965202</v>
      </c>
      <c r="F11" s="4" t="s">
        <v>18</v>
      </c>
      <c r="G11" s="5" t="s">
        <v>19</v>
      </c>
    </row>
    <row r="12" spans="3:11" x14ac:dyDescent="0.35">
      <c r="C12" s="4" t="str">
        <f t="shared" si="0"/>
        <v>F042</v>
      </c>
      <c r="D12" s="4" t="s">
        <v>26</v>
      </c>
      <c r="E12" s="4">
        <v>624965203</v>
      </c>
      <c r="F12" s="4" t="s">
        <v>18</v>
      </c>
      <c r="G12" s="5" t="s">
        <v>19</v>
      </c>
    </row>
    <row r="13" spans="3:11" x14ac:dyDescent="0.35">
      <c r="C13" s="4" t="str">
        <f t="shared" si="0"/>
        <v>F043</v>
      </c>
      <c r="D13" s="4" t="s">
        <v>27</v>
      </c>
      <c r="E13" s="4">
        <v>624965204</v>
      </c>
      <c r="F13" s="4" t="s">
        <v>18</v>
      </c>
      <c r="G13" s="5" t="s">
        <v>19</v>
      </c>
    </row>
    <row r="14" spans="3:11" x14ac:dyDescent="0.35">
      <c r="C14" s="4" t="str">
        <f t="shared" si="0"/>
        <v>F044</v>
      </c>
      <c r="D14" s="4" t="s">
        <v>28</v>
      </c>
      <c r="E14" s="4">
        <v>624965205</v>
      </c>
      <c r="F14" s="4" t="s">
        <v>18</v>
      </c>
      <c r="G14" s="5" t="s">
        <v>19</v>
      </c>
    </row>
    <row r="15" spans="3:11" x14ac:dyDescent="0.35">
      <c r="C15" s="4" t="str">
        <f t="shared" si="0"/>
        <v>F045</v>
      </c>
      <c r="D15" s="4" t="s">
        <v>29</v>
      </c>
      <c r="E15" s="4">
        <v>624965206</v>
      </c>
      <c r="F15" s="4" t="s">
        <v>18</v>
      </c>
      <c r="G15" s="5" t="s">
        <v>19</v>
      </c>
    </row>
    <row r="16" spans="3:11" x14ac:dyDescent="0.35">
      <c r="C16" s="4" t="str">
        <f t="shared" si="0"/>
        <v>F046</v>
      </c>
      <c r="D16" s="4" t="s">
        <v>30</v>
      </c>
      <c r="E16" s="4">
        <v>624965207</v>
      </c>
      <c r="F16" s="4" t="s">
        <v>18</v>
      </c>
      <c r="G16" s="5" t="s">
        <v>19</v>
      </c>
    </row>
    <row r="17" spans="3:7" x14ac:dyDescent="0.35">
      <c r="C17" s="4" t="str">
        <f t="shared" si="0"/>
        <v>F047</v>
      </c>
      <c r="D17" s="4" t="s">
        <v>31</v>
      </c>
      <c r="E17" s="4">
        <v>624965208</v>
      </c>
      <c r="F17" s="4" t="s">
        <v>18</v>
      </c>
      <c r="G17" s="5" t="s">
        <v>19</v>
      </c>
    </row>
    <row r="18" spans="3:7" x14ac:dyDescent="0.35">
      <c r="C18" s="4" t="str">
        <f t="shared" si="0"/>
        <v>F048</v>
      </c>
      <c r="D18" s="4" t="s">
        <v>32</v>
      </c>
      <c r="E18" s="4">
        <v>624965209</v>
      </c>
      <c r="F18" s="4" t="s">
        <v>18</v>
      </c>
      <c r="G18" s="5" t="s">
        <v>19</v>
      </c>
    </row>
    <row r="19" spans="3:7" x14ac:dyDescent="0.35">
      <c r="C19" s="4" t="str">
        <f t="shared" si="0"/>
        <v>F049</v>
      </c>
      <c r="D19" s="4" t="s">
        <v>33</v>
      </c>
      <c r="E19" s="4">
        <v>624965210</v>
      </c>
      <c r="F19" s="4" t="s">
        <v>18</v>
      </c>
      <c r="G19" s="5" t="s">
        <v>19</v>
      </c>
    </row>
    <row r="20" spans="3:7" x14ac:dyDescent="0.35">
      <c r="C20" s="4" t="str">
        <f t="shared" si="0"/>
        <v>F050</v>
      </c>
      <c r="D20" s="4" t="s">
        <v>34</v>
      </c>
      <c r="E20" s="4">
        <v>624965211</v>
      </c>
      <c r="F20" s="4" t="s">
        <v>18</v>
      </c>
      <c r="G20" s="5" t="s">
        <v>19</v>
      </c>
    </row>
    <row r="21" spans="3:7" x14ac:dyDescent="0.35">
      <c r="C21" s="4" t="str">
        <f t="shared" si="0"/>
        <v>F051</v>
      </c>
      <c r="D21" s="4" t="s">
        <v>35</v>
      </c>
      <c r="E21" s="4">
        <v>624965212</v>
      </c>
      <c r="F21" s="4" t="s">
        <v>18</v>
      </c>
      <c r="G21" s="5" t="s">
        <v>19</v>
      </c>
    </row>
    <row r="22" spans="3:7" x14ac:dyDescent="0.35">
      <c r="C22" s="4" t="str">
        <f t="shared" si="0"/>
        <v>F052</v>
      </c>
      <c r="D22" s="4" t="s">
        <v>36</v>
      </c>
      <c r="E22" s="4">
        <v>624965213</v>
      </c>
      <c r="F22" s="4" t="s">
        <v>18</v>
      </c>
      <c r="G22" s="5" t="s">
        <v>19</v>
      </c>
    </row>
  </sheetData>
  <phoneticPr fontId="6" type="noConversion"/>
  <hyperlinks>
    <hyperlink ref="G5" r:id="rId1" xr:uid="{8BBDADDE-0FBE-4BCC-BD37-8405D8CA8A75}"/>
    <hyperlink ref="G6" r:id="rId2" xr:uid="{F48387A8-4CF8-47F4-B4BB-67E5AF21E8E8}"/>
    <hyperlink ref="G7" r:id="rId3" xr:uid="{B360163D-DE32-4D40-8F42-7C41F0EBB572}"/>
    <hyperlink ref="G8" r:id="rId4" xr:uid="{F27F5E09-772E-4F11-B1D7-1C4227D50376}"/>
    <hyperlink ref="G9" r:id="rId5" xr:uid="{98BBEA36-2CDC-4D00-946C-B7BC783440E2}"/>
    <hyperlink ref="G10" r:id="rId6" xr:uid="{E1311E13-9528-4549-9C7C-1B907A0665D1}"/>
    <hyperlink ref="G11" r:id="rId7" xr:uid="{17A4573A-E075-4D3A-98CD-9968E4F8C4DF}"/>
    <hyperlink ref="G12" r:id="rId8" xr:uid="{BCA6F916-08D1-4B05-9F51-DDA9D259A4D7}"/>
    <hyperlink ref="G13" r:id="rId9" xr:uid="{7D709C90-9D0B-43FB-B71C-59E6C4D60845}"/>
    <hyperlink ref="G14" r:id="rId10" xr:uid="{44D3D6FD-CFD0-45DB-BD29-2A492AE7E6BD}"/>
    <hyperlink ref="G15" r:id="rId11" xr:uid="{16524FBD-E307-4598-8064-B8B0E58DB2DC}"/>
    <hyperlink ref="G16" r:id="rId12" xr:uid="{EA5DD66B-A7B3-4853-A49E-6130288D8738}"/>
    <hyperlink ref="G17" r:id="rId13" xr:uid="{C18B2BF1-1C4A-4B98-ABE4-6B1DBB4403CD}"/>
    <hyperlink ref="G18" r:id="rId14" xr:uid="{D20E0B6A-C592-436F-B04C-8347B3B7222A}"/>
    <hyperlink ref="G19" r:id="rId15" xr:uid="{D657F753-0017-4E28-85A9-BB72B524E9C1}"/>
    <hyperlink ref="G20" r:id="rId16" xr:uid="{B74F09FE-B7A8-4CF9-8D97-8681B5AE4EE7}"/>
    <hyperlink ref="G21" r:id="rId17" xr:uid="{C1D3DCC3-0A62-4ABA-A259-DDE57B4554D7}"/>
    <hyperlink ref="G22" r:id="rId18" xr:uid="{0537C03A-FB67-4557-82C5-11A097186DBE}"/>
  </hyperlinks>
  <pageMargins left="0.7" right="0.7" top="0.75" bottom="0.75" header="0.3" footer="0.3"/>
  <tableParts count="1"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74ED5-BB4B-4ED7-B2A2-C29369044D22}">
  <sheetPr codeName="Feuil3"/>
  <dimension ref="C4:K25"/>
  <sheetViews>
    <sheetView workbookViewId="0">
      <selection activeCell="D7" sqref="D7"/>
    </sheetView>
  </sheetViews>
  <sheetFormatPr baseColWidth="10" defaultRowHeight="14.5" x14ac:dyDescent="0.35"/>
  <cols>
    <col min="3" max="3" width="13.81640625" style="6" customWidth="1"/>
    <col min="4" max="4" width="25.36328125" style="6" bestFit="1" customWidth="1"/>
    <col min="5" max="5" width="20.36328125" style="6" bestFit="1" customWidth="1"/>
    <col min="6" max="6" width="13.81640625" style="6" customWidth="1"/>
    <col min="7" max="7" width="15" style="6" bestFit="1" customWidth="1"/>
    <col min="8" max="11" width="13.81640625" style="6" customWidth="1"/>
  </cols>
  <sheetData>
    <row r="4" spans="3:11" ht="7" customHeight="1" x14ac:dyDescent="0.35"/>
    <row r="5" spans="3:11" s="1" customFormat="1" ht="22" customHeight="1" x14ac:dyDescent="0.35">
      <c r="C5" s="2" t="s">
        <v>37</v>
      </c>
      <c r="D5" s="2" t="s">
        <v>38</v>
      </c>
      <c r="E5" s="2" t="s">
        <v>39</v>
      </c>
      <c r="F5" s="2" t="s">
        <v>2</v>
      </c>
      <c r="G5" s="2" t="s">
        <v>40</v>
      </c>
      <c r="H5" s="2" t="s">
        <v>41</v>
      </c>
      <c r="I5" s="2" t="s">
        <v>42</v>
      </c>
      <c r="J5" s="2" t="s">
        <v>13</v>
      </c>
      <c r="K5" s="2" t="s">
        <v>43</v>
      </c>
    </row>
    <row r="6" spans="3:11" x14ac:dyDescent="0.35">
      <c r="C6" s="6" t="str">
        <f t="shared" ref="C6:C21" si="0">"P"&amp;TEXT(ROW(C6)-5,"000")</f>
        <v>P001</v>
      </c>
      <c r="D6" s="6" t="s">
        <v>44</v>
      </c>
      <c r="E6" s="6" t="s">
        <v>45</v>
      </c>
      <c r="F6" s="6" t="s">
        <v>46</v>
      </c>
      <c r="G6" s="6" t="s">
        <v>47</v>
      </c>
      <c r="H6" s="16">
        <v>100</v>
      </c>
      <c r="I6" s="6">
        <v>40</v>
      </c>
      <c r="J6" s="6">
        <v>10</v>
      </c>
      <c r="K6" s="6">
        <f>H6*J6</f>
        <v>1000</v>
      </c>
    </row>
    <row r="7" spans="3:11" x14ac:dyDescent="0.35">
      <c r="C7" s="6" t="str">
        <f t="shared" si="0"/>
        <v>P002</v>
      </c>
      <c r="D7" s="6" t="s">
        <v>48</v>
      </c>
      <c r="E7" s="6" t="s">
        <v>49</v>
      </c>
      <c r="F7" s="6" t="s">
        <v>50</v>
      </c>
      <c r="G7" s="6" t="s">
        <v>51</v>
      </c>
      <c r="H7" s="16">
        <v>100</v>
      </c>
      <c r="I7" s="6">
        <v>40</v>
      </c>
      <c r="J7" s="6">
        <v>10</v>
      </c>
      <c r="K7" s="6">
        <f t="shared" ref="K7:K21" si="1">H7*J7</f>
        <v>1000</v>
      </c>
    </row>
    <row r="8" spans="3:11" x14ac:dyDescent="0.35">
      <c r="C8" s="6" t="str">
        <f t="shared" si="0"/>
        <v>P003</v>
      </c>
      <c r="D8" s="6" t="s">
        <v>52</v>
      </c>
      <c r="E8" s="6" t="s">
        <v>53</v>
      </c>
      <c r="F8" s="6" t="s">
        <v>54</v>
      </c>
      <c r="G8" s="6" t="s">
        <v>55</v>
      </c>
      <c r="H8" s="16">
        <v>100</v>
      </c>
      <c r="I8" s="6">
        <v>40</v>
      </c>
      <c r="J8" s="6">
        <v>10</v>
      </c>
      <c r="K8" s="6">
        <f t="shared" si="1"/>
        <v>1000</v>
      </c>
    </row>
    <row r="9" spans="3:11" x14ac:dyDescent="0.35">
      <c r="C9" s="6" t="str">
        <f t="shared" si="0"/>
        <v>P004</v>
      </c>
      <c r="D9" s="6" t="s">
        <v>56</v>
      </c>
      <c r="E9" s="6" t="s">
        <v>57</v>
      </c>
      <c r="F9" s="6" t="s">
        <v>58</v>
      </c>
      <c r="G9" s="6" t="s">
        <v>59</v>
      </c>
      <c r="H9" s="16">
        <v>100</v>
      </c>
      <c r="I9" s="6">
        <v>40</v>
      </c>
      <c r="J9" s="6">
        <v>10</v>
      </c>
      <c r="K9" s="6">
        <f t="shared" si="1"/>
        <v>1000</v>
      </c>
    </row>
    <row r="10" spans="3:11" x14ac:dyDescent="0.35">
      <c r="C10" s="6" t="str">
        <f t="shared" si="0"/>
        <v>P005</v>
      </c>
      <c r="D10" s="6" t="s">
        <v>60</v>
      </c>
      <c r="E10" s="6" t="s">
        <v>61</v>
      </c>
      <c r="F10" s="6" t="s">
        <v>62</v>
      </c>
      <c r="G10" s="6" t="s">
        <v>63</v>
      </c>
      <c r="H10" s="16">
        <v>100</v>
      </c>
      <c r="I10" s="6">
        <v>40</v>
      </c>
      <c r="J10" s="6">
        <v>10</v>
      </c>
      <c r="K10" s="6">
        <f t="shared" si="1"/>
        <v>1000</v>
      </c>
    </row>
    <row r="11" spans="3:11" x14ac:dyDescent="0.35">
      <c r="C11" s="6" t="str">
        <f t="shared" si="0"/>
        <v>P006</v>
      </c>
      <c r="D11" s="6" t="s">
        <v>64</v>
      </c>
      <c r="E11" s="6" t="s">
        <v>65</v>
      </c>
      <c r="F11" s="6" t="s">
        <v>66</v>
      </c>
      <c r="G11" s="6" t="s">
        <v>67</v>
      </c>
      <c r="H11" s="16">
        <v>100</v>
      </c>
      <c r="I11" s="6">
        <v>40</v>
      </c>
      <c r="J11" s="6">
        <v>10</v>
      </c>
      <c r="K11" s="6">
        <f t="shared" si="1"/>
        <v>1000</v>
      </c>
    </row>
    <row r="12" spans="3:11" x14ac:dyDescent="0.35">
      <c r="C12" s="6" t="str">
        <f t="shared" si="0"/>
        <v>P007</v>
      </c>
      <c r="D12" s="6" t="s">
        <v>68</v>
      </c>
      <c r="E12" s="6" t="s">
        <v>69</v>
      </c>
      <c r="F12" s="6" t="s">
        <v>70</v>
      </c>
      <c r="G12" s="6" t="s">
        <v>71</v>
      </c>
      <c r="H12" s="16">
        <v>100</v>
      </c>
      <c r="I12" s="6">
        <v>40</v>
      </c>
      <c r="J12" s="6">
        <v>10</v>
      </c>
      <c r="K12" s="6">
        <f t="shared" si="1"/>
        <v>1000</v>
      </c>
    </row>
    <row r="13" spans="3:11" x14ac:dyDescent="0.35">
      <c r="C13" s="6" t="str">
        <f t="shared" si="0"/>
        <v>P008</v>
      </c>
      <c r="D13" s="6" t="s">
        <v>72</v>
      </c>
      <c r="E13" s="6" t="s">
        <v>73</v>
      </c>
      <c r="F13" s="6" t="s">
        <v>74</v>
      </c>
      <c r="G13" s="6" t="s">
        <v>75</v>
      </c>
      <c r="H13" s="16">
        <v>100</v>
      </c>
      <c r="I13" s="6">
        <v>40</v>
      </c>
      <c r="J13" s="6">
        <v>10</v>
      </c>
      <c r="K13" s="6">
        <f t="shared" si="1"/>
        <v>1000</v>
      </c>
    </row>
    <row r="14" spans="3:11" x14ac:dyDescent="0.35">
      <c r="C14" s="6" t="str">
        <f t="shared" si="0"/>
        <v>P009</v>
      </c>
      <c r="D14" s="6" t="s">
        <v>76</v>
      </c>
      <c r="E14" s="6" t="s">
        <v>77</v>
      </c>
      <c r="F14" s="6" t="s">
        <v>78</v>
      </c>
      <c r="G14" s="6" t="s">
        <v>79</v>
      </c>
      <c r="H14" s="16">
        <v>100</v>
      </c>
      <c r="I14" s="6">
        <v>40</v>
      </c>
      <c r="J14" s="6">
        <v>10</v>
      </c>
      <c r="K14" s="6">
        <f t="shared" si="1"/>
        <v>1000</v>
      </c>
    </row>
    <row r="15" spans="3:11" x14ac:dyDescent="0.35">
      <c r="C15" s="6" t="str">
        <f t="shared" si="0"/>
        <v>P010</v>
      </c>
      <c r="D15" s="6" t="s">
        <v>80</v>
      </c>
      <c r="E15" s="6" t="s">
        <v>81</v>
      </c>
      <c r="F15" s="6" t="s">
        <v>82</v>
      </c>
      <c r="G15" s="6" t="s">
        <v>83</v>
      </c>
      <c r="H15" s="16">
        <v>100</v>
      </c>
      <c r="I15" s="6">
        <v>40</v>
      </c>
      <c r="J15" s="6">
        <v>10</v>
      </c>
      <c r="K15" s="6">
        <f t="shared" si="1"/>
        <v>1000</v>
      </c>
    </row>
    <row r="16" spans="3:11" x14ac:dyDescent="0.35">
      <c r="C16" s="6" t="str">
        <f t="shared" si="0"/>
        <v>P011</v>
      </c>
      <c r="D16" s="6" t="s">
        <v>84</v>
      </c>
      <c r="E16" s="6" t="s">
        <v>85</v>
      </c>
      <c r="F16" s="6" t="s">
        <v>86</v>
      </c>
      <c r="G16" s="6" t="s">
        <v>87</v>
      </c>
      <c r="H16" s="16">
        <v>100</v>
      </c>
      <c r="I16" s="6">
        <v>40</v>
      </c>
      <c r="J16" s="6">
        <v>10</v>
      </c>
      <c r="K16" s="6">
        <f t="shared" si="1"/>
        <v>1000</v>
      </c>
    </row>
    <row r="17" spans="3:11" x14ac:dyDescent="0.35">
      <c r="C17" s="6" t="str">
        <f t="shared" si="0"/>
        <v>P012</v>
      </c>
      <c r="D17" s="6" t="s">
        <v>88</v>
      </c>
      <c r="E17" s="6" t="s">
        <v>89</v>
      </c>
      <c r="F17" s="6" t="s">
        <v>90</v>
      </c>
      <c r="G17" s="6" t="s">
        <v>91</v>
      </c>
      <c r="H17" s="16">
        <v>100</v>
      </c>
      <c r="I17" s="6">
        <v>40</v>
      </c>
      <c r="J17" s="6">
        <v>10</v>
      </c>
      <c r="K17" s="6">
        <f t="shared" si="1"/>
        <v>1000</v>
      </c>
    </row>
    <row r="18" spans="3:11" x14ac:dyDescent="0.35">
      <c r="C18" s="6" t="str">
        <f t="shared" si="0"/>
        <v>P013</v>
      </c>
      <c r="D18" s="6" t="s">
        <v>92</v>
      </c>
      <c r="E18" s="6" t="s">
        <v>93</v>
      </c>
      <c r="F18" s="6" t="s">
        <v>94</v>
      </c>
      <c r="G18" s="6" t="s">
        <v>95</v>
      </c>
      <c r="H18" s="16">
        <v>100</v>
      </c>
      <c r="I18" s="6">
        <v>40</v>
      </c>
      <c r="J18" s="6">
        <v>10</v>
      </c>
      <c r="K18" s="6">
        <f t="shared" si="1"/>
        <v>1000</v>
      </c>
    </row>
    <row r="19" spans="3:11" x14ac:dyDescent="0.35">
      <c r="C19" s="6" t="str">
        <f t="shared" si="0"/>
        <v>P014</v>
      </c>
      <c r="D19" s="6" t="s">
        <v>96</v>
      </c>
      <c r="E19" s="6" t="s">
        <v>97</v>
      </c>
      <c r="F19" s="6" t="s">
        <v>98</v>
      </c>
      <c r="G19" s="6" t="s">
        <v>99</v>
      </c>
      <c r="H19" s="16">
        <v>100</v>
      </c>
      <c r="I19" s="6">
        <v>40</v>
      </c>
      <c r="J19" s="6">
        <v>10</v>
      </c>
      <c r="K19" s="6">
        <f t="shared" si="1"/>
        <v>1000</v>
      </c>
    </row>
    <row r="20" spans="3:11" x14ac:dyDescent="0.35">
      <c r="C20" s="6" t="str">
        <f t="shared" si="0"/>
        <v>P015</v>
      </c>
      <c r="D20" s="6" t="s">
        <v>100</v>
      </c>
      <c r="E20" s="6" t="s">
        <v>101</v>
      </c>
      <c r="F20" s="6" t="s">
        <v>102</v>
      </c>
      <c r="G20" s="6" t="s">
        <v>103</v>
      </c>
      <c r="H20" s="16">
        <v>100</v>
      </c>
      <c r="I20" s="6">
        <v>40</v>
      </c>
      <c r="J20" s="6">
        <v>10</v>
      </c>
      <c r="K20" s="6">
        <f t="shared" si="1"/>
        <v>1000</v>
      </c>
    </row>
    <row r="21" spans="3:11" x14ac:dyDescent="0.35">
      <c r="C21" s="6" t="str">
        <f t="shared" si="0"/>
        <v>P016</v>
      </c>
      <c r="D21" s="6" t="s">
        <v>104</v>
      </c>
      <c r="E21" s="6" t="s">
        <v>105</v>
      </c>
      <c r="F21" s="6" t="s">
        <v>106</v>
      </c>
      <c r="G21" s="6" t="s">
        <v>107</v>
      </c>
      <c r="H21" s="16">
        <v>100</v>
      </c>
      <c r="I21" s="6">
        <v>40</v>
      </c>
      <c r="J21" s="6">
        <v>10</v>
      </c>
      <c r="K21" s="6">
        <f t="shared" si="1"/>
        <v>1000</v>
      </c>
    </row>
    <row r="22" spans="3:11" x14ac:dyDescent="0.35">
      <c r="C22" s="15" t="s">
        <v>155</v>
      </c>
      <c r="D22" s="6" t="s">
        <v>156</v>
      </c>
      <c r="E22" s="6" t="s">
        <v>157</v>
      </c>
      <c r="F22" s="6" t="s">
        <v>158</v>
      </c>
      <c r="G22" s="6" t="s">
        <v>159</v>
      </c>
      <c r="H22" s="16">
        <v>15000</v>
      </c>
      <c r="K22" s="6">
        <f>H22*J22</f>
        <v>0</v>
      </c>
    </row>
    <row r="23" spans="3:11" x14ac:dyDescent="0.35">
      <c r="C23" s="15" t="s">
        <v>160</v>
      </c>
      <c r="D23" s="6" t="s">
        <v>161</v>
      </c>
      <c r="E23" s="6" t="s">
        <v>162</v>
      </c>
      <c r="F23" s="6" t="s">
        <v>163</v>
      </c>
      <c r="G23" s="6" t="s">
        <v>164</v>
      </c>
      <c r="H23" s="16">
        <v>0</v>
      </c>
      <c r="K23" s="16">
        <f>H23*J23</f>
        <v>0</v>
      </c>
    </row>
    <row r="24" spans="3:11" x14ac:dyDescent="0.35">
      <c r="C24" s="15" t="s">
        <v>165</v>
      </c>
      <c r="D24" s="6" t="s">
        <v>166</v>
      </c>
      <c r="E24" s="6" t="s">
        <v>167</v>
      </c>
      <c r="F24" s="6" t="s">
        <v>168</v>
      </c>
      <c r="G24" s="6" t="s">
        <v>169</v>
      </c>
      <c r="H24" s="16">
        <v>20000</v>
      </c>
      <c r="K24" s="16">
        <f>H24*J24</f>
        <v>0</v>
      </c>
    </row>
    <row r="25" spans="3:11" x14ac:dyDescent="0.35">
      <c r="C25" s="15" t="s">
        <v>170</v>
      </c>
      <c r="D25" s="6" t="s">
        <v>171</v>
      </c>
      <c r="E25" s="6" t="s">
        <v>172</v>
      </c>
      <c r="F25" s="6" t="s">
        <v>173</v>
      </c>
      <c r="G25" s="6" t="s">
        <v>174</v>
      </c>
      <c r="H25" s="16">
        <v>30000</v>
      </c>
      <c r="K25" s="16">
        <f>H25*J25</f>
        <v>0</v>
      </c>
    </row>
  </sheetData>
  <phoneticPr fontId="6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2D23-FCAD-4FB7-B288-21C0F451E5B9}">
  <sheetPr codeName="Feuil4"/>
  <dimension ref="C4:K369"/>
  <sheetViews>
    <sheetView workbookViewId="0">
      <selection activeCell="A4" sqref="A4:XFD4"/>
    </sheetView>
  </sheetViews>
  <sheetFormatPr baseColWidth="10" defaultRowHeight="14.5" x14ac:dyDescent="0.35"/>
  <cols>
    <col min="3" max="8" width="18.81640625" style="6" customWidth="1"/>
  </cols>
  <sheetData>
    <row r="4" spans="3:11" s="1" customFormat="1" ht="22" customHeight="1" x14ac:dyDescent="0.35"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/>
      <c r="J4" s="2"/>
      <c r="K4" s="2"/>
    </row>
    <row r="5" spans="3:11" x14ac:dyDescent="0.35">
      <c r="C5" s="7">
        <v>45658</v>
      </c>
      <c r="D5" s="6">
        <f>DAY(C5)</f>
        <v>1</v>
      </c>
      <c r="E5" s="6">
        <f>MONTH(C5)</f>
        <v>1</v>
      </c>
      <c r="F5" s="6" t="str">
        <f t="shared" ref="F5:F10" si="0">TEXT(C5, "mmm")</f>
        <v>Jan</v>
      </c>
      <c r="G5" s="7" t="str">
        <f>"T"&amp;INT((MONTH(C5)-1)/3)+1</f>
        <v>T1</v>
      </c>
      <c r="H5" s="6">
        <f>YEAR(C5)</f>
        <v>2025</v>
      </c>
    </row>
    <row r="6" spans="3:11" x14ac:dyDescent="0.35">
      <c r="C6" s="7">
        <v>45659</v>
      </c>
      <c r="D6" s="6">
        <f t="shared" ref="D6:D69" si="1">DAY(C6)</f>
        <v>2</v>
      </c>
      <c r="E6" s="6">
        <f t="shared" ref="E6:E11" si="2">MONTH(C6)</f>
        <v>1</v>
      </c>
      <c r="F6" s="6" t="str">
        <f t="shared" si="0"/>
        <v>Jan</v>
      </c>
      <c r="G6" s="7" t="str">
        <f t="shared" ref="G6:G11" si="3">"T"&amp;INT((MONTH(C6)-1)/3)+1</f>
        <v>T1</v>
      </c>
      <c r="H6" s="6">
        <f t="shared" ref="H6:H11" si="4">YEAR(C6)</f>
        <v>2025</v>
      </c>
    </row>
    <row r="7" spans="3:11" x14ac:dyDescent="0.35">
      <c r="C7" s="7">
        <v>45660</v>
      </c>
      <c r="D7" s="6">
        <f t="shared" si="1"/>
        <v>3</v>
      </c>
      <c r="E7" s="6">
        <f t="shared" si="2"/>
        <v>1</v>
      </c>
      <c r="F7" s="6" t="str">
        <f t="shared" si="0"/>
        <v>Jan</v>
      </c>
      <c r="G7" s="7" t="str">
        <f t="shared" si="3"/>
        <v>T1</v>
      </c>
      <c r="H7" s="6">
        <f t="shared" si="4"/>
        <v>2025</v>
      </c>
    </row>
    <row r="8" spans="3:11" x14ac:dyDescent="0.35">
      <c r="C8" s="7">
        <v>45661</v>
      </c>
      <c r="D8" s="6">
        <f t="shared" si="1"/>
        <v>4</v>
      </c>
      <c r="E8" s="6">
        <f t="shared" si="2"/>
        <v>1</v>
      </c>
      <c r="F8" s="6" t="str">
        <f t="shared" si="0"/>
        <v>Jan</v>
      </c>
      <c r="G8" s="7" t="str">
        <f t="shared" si="3"/>
        <v>T1</v>
      </c>
      <c r="H8" s="6">
        <f t="shared" si="4"/>
        <v>2025</v>
      </c>
    </row>
    <row r="9" spans="3:11" x14ac:dyDescent="0.35">
      <c r="C9" s="7">
        <v>45662</v>
      </c>
      <c r="D9" s="6">
        <f t="shared" si="1"/>
        <v>5</v>
      </c>
      <c r="E9" s="6">
        <f t="shared" si="2"/>
        <v>1</v>
      </c>
      <c r="F9" s="6" t="str">
        <f t="shared" si="0"/>
        <v>Jan</v>
      </c>
      <c r="G9" s="7" t="str">
        <f t="shared" si="3"/>
        <v>T1</v>
      </c>
      <c r="H9" s="6">
        <f t="shared" si="4"/>
        <v>2025</v>
      </c>
    </row>
    <row r="10" spans="3:11" x14ac:dyDescent="0.35">
      <c r="C10" s="7">
        <v>45663</v>
      </c>
      <c r="D10" s="6">
        <f t="shared" si="1"/>
        <v>6</v>
      </c>
      <c r="E10" s="6">
        <f t="shared" si="2"/>
        <v>1</v>
      </c>
      <c r="F10" s="6" t="str">
        <f t="shared" si="0"/>
        <v>Jan</v>
      </c>
      <c r="G10" s="7" t="str">
        <f t="shared" si="3"/>
        <v>T1</v>
      </c>
      <c r="H10" s="6">
        <f t="shared" si="4"/>
        <v>2025</v>
      </c>
    </row>
    <row r="11" spans="3:11" x14ac:dyDescent="0.35">
      <c r="C11" s="7">
        <v>45664</v>
      </c>
      <c r="D11" s="6">
        <f t="shared" si="1"/>
        <v>7</v>
      </c>
      <c r="E11" s="6">
        <f t="shared" si="2"/>
        <v>1</v>
      </c>
      <c r="F11" s="6" t="str">
        <f t="shared" ref="F11:F17" si="5">TEXT(C11, "mmm")</f>
        <v>Jan</v>
      </c>
      <c r="G11" s="7" t="str">
        <f t="shared" si="3"/>
        <v>T1</v>
      </c>
      <c r="H11" s="6">
        <f t="shared" si="4"/>
        <v>2025</v>
      </c>
    </row>
    <row r="12" spans="3:11" x14ac:dyDescent="0.35">
      <c r="C12" s="7">
        <v>45665</v>
      </c>
      <c r="D12" s="6">
        <f t="shared" si="1"/>
        <v>8</v>
      </c>
      <c r="E12" s="6">
        <f t="shared" ref="E12:E17" si="6">MONTH(C12)</f>
        <v>1</v>
      </c>
      <c r="F12" s="6" t="str">
        <f t="shared" si="5"/>
        <v>Jan</v>
      </c>
      <c r="G12" s="7" t="str">
        <f t="shared" ref="G12:G17" si="7">"T"&amp;INT((MONTH(C12)-1)/3)+1</f>
        <v>T1</v>
      </c>
      <c r="H12" s="6">
        <f t="shared" ref="H12:H17" si="8">YEAR(C12)</f>
        <v>2025</v>
      </c>
    </row>
    <row r="13" spans="3:11" x14ac:dyDescent="0.35">
      <c r="C13" s="7">
        <v>45666</v>
      </c>
      <c r="D13" s="6">
        <f t="shared" si="1"/>
        <v>9</v>
      </c>
      <c r="E13" s="6">
        <f t="shared" si="6"/>
        <v>1</v>
      </c>
      <c r="F13" s="6" t="str">
        <f t="shared" si="5"/>
        <v>Jan</v>
      </c>
      <c r="G13" s="7" t="str">
        <f t="shared" si="7"/>
        <v>T1</v>
      </c>
      <c r="H13" s="6">
        <f t="shared" si="8"/>
        <v>2025</v>
      </c>
    </row>
    <row r="14" spans="3:11" x14ac:dyDescent="0.35">
      <c r="C14" s="7">
        <v>45667</v>
      </c>
      <c r="D14" s="6">
        <f t="shared" si="1"/>
        <v>10</v>
      </c>
      <c r="E14" s="6">
        <f t="shared" si="6"/>
        <v>1</v>
      </c>
      <c r="F14" s="6" t="str">
        <f t="shared" si="5"/>
        <v>Jan</v>
      </c>
      <c r="G14" s="7" t="str">
        <f t="shared" si="7"/>
        <v>T1</v>
      </c>
      <c r="H14" s="6">
        <f t="shared" si="8"/>
        <v>2025</v>
      </c>
    </row>
    <row r="15" spans="3:11" x14ac:dyDescent="0.35">
      <c r="C15" s="7">
        <v>45668</v>
      </c>
      <c r="D15" s="6">
        <f t="shared" si="1"/>
        <v>11</v>
      </c>
      <c r="E15" s="6">
        <f t="shared" si="6"/>
        <v>1</v>
      </c>
      <c r="F15" s="6" t="str">
        <f t="shared" si="5"/>
        <v>Jan</v>
      </c>
      <c r="G15" s="7" t="str">
        <f t="shared" si="7"/>
        <v>T1</v>
      </c>
      <c r="H15" s="6">
        <f t="shared" si="8"/>
        <v>2025</v>
      </c>
    </row>
    <row r="16" spans="3:11" x14ac:dyDescent="0.35">
      <c r="C16" s="7">
        <v>45669</v>
      </c>
      <c r="D16" s="6">
        <f t="shared" si="1"/>
        <v>12</v>
      </c>
      <c r="E16" s="6">
        <f t="shared" si="6"/>
        <v>1</v>
      </c>
      <c r="F16" s="6" t="str">
        <f t="shared" si="5"/>
        <v>Jan</v>
      </c>
      <c r="G16" s="7" t="str">
        <f t="shared" si="7"/>
        <v>T1</v>
      </c>
      <c r="H16" s="6">
        <f t="shared" si="8"/>
        <v>2025</v>
      </c>
    </row>
    <row r="17" spans="3:8" x14ac:dyDescent="0.35">
      <c r="C17" s="7">
        <v>45670</v>
      </c>
      <c r="D17" s="6">
        <f t="shared" si="1"/>
        <v>13</v>
      </c>
      <c r="E17" s="6">
        <f t="shared" si="6"/>
        <v>1</v>
      </c>
      <c r="F17" s="6" t="str">
        <f t="shared" si="5"/>
        <v>Jan</v>
      </c>
      <c r="G17" s="7" t="str">
        <f t="shared" si="7"/>
        <v>T1</v>
      </c>
      <c r="H17" s="6">
        <f t="shared" si="8"/>
        <v>2025</v>
      </c>
    </row>
    <row r="18" spans="3:8" x14ac:dyDescent="0.35">
      <c r="C18" s="7">
        <v>45671</v>
      </c>
      <c r="D18" s="6">
        <f>DAY(C18)</f>
        <v>14</v>
      </c>
      <c r="E18" s="6">
        <f>MONTH(C18)</f>
        <v>1</v>
      </c>
      <c r="F18" s="6" t="str">
        <f>TEXT(C18, "mmm")</f>
        <v>Jan</v>
      </c>
      <c r="G18" s="7" t="str">
        <f>"T"&amp;INT((MONTH(C18)-1)/3)+1</f>
        <v>T1</v>
      </c>
      <c r="H18" s="6">
        <f>YEAR(C18)</f>
        <v>2025</v>
      </c>
    </row>
    <row r="19" spans="3:8" x14ac:dyDescent="0.35">
      <c r="C19" s="7">
        <v>45672</v>
      </c>
      <c r="D19" s="6">
        <f t="shared" si="1"/>
        <v>15</v>
      </c>
      <c r="E19" s="6">
        <f t="shared" ref="E19:E34" si="9">MONTH(C19)</f>
        <v>1</v>
      </c>
      <c r="F19" s="6" t="str">
        <f t="shared" ref="F19:F34" si="10">TEXT(C19, "mmm")</f>
        <v>Jan</v>
      </c>
      <c r="G19" s="7" t="str">
        <f t="shared" ref="G19:G34" si="11">"T"&amp;INT((MONTH(C19)-1)/3)+1</f>
        <v>T1</v>
      </c>
      <c r="H19" s="6">
        <f t="shared" ref="H19:H34" si="12">YEAR(C19)</f>
        <v>2025</v>
      </c>
    </row>
    <row r="20" spans="3:8" x14ac:dyDescent="0.35">
      <c r="C20" s="7">
        <v>45673</v>
      </c>
      <c r="D20" s="6">
        <f t="shared" si="1"/>
        <v>16</v>
      </c>
      <c r="E20" s="6">
        <f t="shared" si="9"/>
        <v>1</v>
      </c>
      <c r="F20" s="6" t="str">
        <f t="shared" si="10"/>
        <v>Jan</v>
      </c>
      <c r="G20" s="7" t="str">
        <f t="shared" si="11"/>
        <v>T1</v>
      </c>
      <c r="H20" s="6">
        <f t="shared" si="12"/>
        <v>2025</v>
      </c>
    </row>
    <row r="21" spans="3:8" x14ac:dyDescent="0.35">
      <c r="C21" s="7">
        <v>45674</v>
      </c>
      <c r="D21" s="6">
        <f t="shared" si="1"/>
        <v>17</v>
      </c>
      <c r="E21" s="6">
        <f t="shared" si="9"/>
        <v>1</v>
      </c>
      <c r="F21" s="6" t="str">
        <f t="shared" si="10"/>
        <v>Jan</v>
      </c>
      <c r="G21" s="7" t="str">
        <f t="shared" si="11"/>
        <v>T1</v>
      </c>
      <c r="H21" s="6">
        <f t="shared" si="12"/>
        <v>2025</v>
      </c>
    </row>
    <row r="22" spans="3:8" x14ac:dyDescent="0.35">
      <c r="C22" s="7">
        <v>45675</v>
      </c>
      <c r="D22" s="6">
        <f t="shared" si="1"/>
        <v>18</v>
      </c>
      <c r="E22" s="6">
        <f t="shared" si="9"/>
        <v>1</v>
      </c>
      <c r="F22" s="6" t="str">
        <f t="shared" si="10"/>
        <v>Jan</v>
      </c>
      <c r="G22" s="7" t="str">
        <f t="shared" si="11"/>
        <v>T1</v>
      </c>
      <c r="H22" s="6">
        <f t="shared" si="12"/>
        <v>2025</v>
      </c>
    </row>
    <row r="23" spans="3:8" x14ac:dyDescent="0.35">
      <c r="C23" s="7">
        <v>45676</v>
      </c>
      <c r="D23" s="6">
        <f t="shared" si="1"/>
        <v>19</v>
      </c>
      <c r="E23" s="6">
        <f t="shared" si="9"/>
        <v>1</v>
      </c>
      <c r="F23" s="6" t="str">
        <f t="shared" si="10"/>
        <v>Jan</v>
      </c>
      <c r="G23" s="7" t="str">
        <f t="shared" si="11"/>
        <v>T1</v>
      </c>
      <c r="H23" s="6">
        <f t="shared" si="12"/>
        <v>2025</v>
      </c>
    </row>
    <row r="24" spans="3:8" x14ac:dyDescent="0.35">
      <c r="C24" s="7">
        <v>45677</v>
      </c>
      <c r="D24" s="6">
        <f t="shared" si="1"/>
        <v>20</v>
      </c>
      <c r="E24" s="6">
        <f t="shared" si="9"/>
        <v>1</v>
      </c>
      <c r="F24" s="6" t="str">
        <f t="shared" si="10"/>
        <v>Jan</v>
      </c>
      <c r="G24" s="7" t="str">
        <f t="shared" si="11"/>
        <v>T1</v>
      </c>
      <c r="H24" s="6">
        <f t="shared" si="12"/>
        <v>2025</v>
      </c>
    </row>
    <row r="25" spans="3:8" x14ac:dyDescent="0.35">
      <c r="C25" s="7">
        <v>45678</v>
      </c>
      <c r="D25" s="6">
        <f t="shared" si="1"/>
        <v>21</v>
      </c>
      <c r="E25" s="6">
        <f t="shared" si="9"/>
        <v>1</v>
      </c>
      <c r="F25" s="6" t="str">
        <f t="shared" si="10"/>
        <v>Jan</v>
      </c>
      <c r="G25" s="7" t="str">
        <f t="shared" si="11"/>
        <v>T1</v>
      </c>
      <c r="H25" s="6">
        <f t="shared" si="12"/>
        <v>2025</v>
      </c>
    </row>
    <row r="26" spans="3:8" x14ac:dyDescent="0.35">
      <c r="C26" s="7">
        <v>45679</v>
      </c>
      <c r="D26" s="6">
        <f t="shared" si="1"/>
        <v>22</v>
      </c>
      <c r="E26" s="6">
        <f t="shared" si="9"/>
        <v>1</v>
      </c>
      <c r="F26" s="6" t="str">
        <f t="shared" si="10"/>
        <v>Jan</v>
      </c>
      <c r="G26" s="7" t="str">
        <f t="shared" si="11"/>
        <v>T1</v>
      </c>
      <c r="H26" s="6">
        <f t="shared" si="12"/>
        <v>2025</v>
      </c>
    </row>
    <row r="27" spans="3:8" x14ac:dyDescent="0.35">
      <c r="C27" s="7">
        <v>45680</v>
      </c>
      <c r="D27" s="6">
        <f t="shared" si="1"/>
        <v>23</v>
      </c>
      <c r="E27" s="6">
        <f t="shared" si="9"/>
        <v>1</v>
      </c>
      <c r="F27" s="6" t="str">
        <f t="shared" si="10"/>
        <v>Jan</v>
      </c>
      <c r="G27" s="7" t="str">
        <f t="shared" si="11"/>
        <v>T1</v>
      </c>
      <c r="H27" s="6">
        <f t="shared" si="12"/>
        <v>2025</v>
      </c>
    </row>
    <row r="28" spans="3:8" x14ac:dyDescent="0.35">
      <c r="C28" s="7">
        <v>45681</v>
      </c>
      <c r="D28" s="6">
        <f t="shared" si="1"/>
        <v>24</v>
      </c>
      <c r="E28" s="6">
        <f t="shared" si="9"/>
        <v>1</v>
      </c>
      <c r="F28" s="6" t="str">
        <f t="shared" si="10"/>
        <v>Jan</v>
      </c>
      <c r="G28" s="7" t="str">
        <f t="shared" si="11"/>
        <v>T1</v>
      </c>
      <c r="H28" s="6">
        <f t="shared" si="12"/>
        <v>2025</v>
      </c>
    </row>
    <row r="29" spans="3:8" x14ac:dyDescent="0.35">
      <c r="C29" s="7">
        <v>45682</v>
      </c>
      <c r="D29" s="6">
        <f t="shared" si="1"/>
        <v>25</v>
      </c>
      <c r="E29" s="6">
        <f t="shared" si="9"/>
        <v>1</v>
      </c>
      <c r="F29" s="6" t="str">
        <f t="shared" si="10"/>
        <v>Jan</v>
      </c>
      <c r="G29" s="7" t="str">
        <f t="shared" si="11"/>
        <v>T1</v>
      </c>
      <c r="H29" s="6">
        <f t="shared" si="12"/>
        <v>2025</v>
      </c>
    </row>
    <row r="30" spans="3:8" x14ac:dyDescent="0.35">
      <c r="C30" s="7">
        <v>45683</v>
      </c>
      <c r="D30" s="6">
        <f t="shared" si="1"/>
        <v>26</v>
      </c>
      <c r="E30" s="6">
        <f t="shared" si="9"/>
        <v>1</v>
      </c>
      <c r="F30" s="6" t="str">
        <f t="shared" si="10"/>
        <v>Jan</v>
      </c>
      <c r="G30" s="7" t="str">
        <f t="shared" si="11"/>
        <v>T1</v>
      </c>
      <c r="H30" s="6">
        <f t="shared" si="12"/>
        <v>2025</v>
      </c>
    </row>
    <row r="31" spans="3:8" x14ac:dyDescent="0.35">
      <c r="C31" s="7">
        <v>45684</v>
      </c>
      <c r="D31" s="6">
        <f t="shared" si="1"/>
        <v>27</v>
      </c>
      <c r="E31" s="6">
        <f t="shared" si="9"/>
        <v>1</v>
      </c>
      <c r="F31" s="6" t="str">
        <f t="shared" si="10"/>
        <v>Jan</v>
      </c>
      <c r="G31" s="7" t="str">
        <f t="shared" si="11"/>
        <v>T1</v>
      </c>
      <c r="H31" s="6">
        <f t="shared" si="12"/>
        <v>2025</v>
      </c>
    </row>
    <row r="32" spans="3:8" x14ac:dyDescent="0.35">
      <c r="C32" s="7">
        <v>45685</v>
      </c>
      <c r="D32" s="6">
        <f t="shared" si="1"/>
        <v>28</v>
      </c>
      <c r="E32" s="6">
        <f t="shared" si="9"/>
        <v>1</v>
      </c>
      <c r="F32" s="6" t="str">
        <f t="shared" si="10"/>
        <v>Jan</v>
      </c>
      <c r="G32" s="7" t="str">
        <f t="shared" si="11"/>
        <v>T1</v>
      </c>
      <c r="H32" s="6">
        <f t="shared" si="12"/>
        <v>2025</v>
      </c>
    </row>
    <row r="33" spans="3:8" x14ac:dyDescent="0.35">
      <c r="C33" s="7">
        <v>45686</v>
      </c>
      <c r="D33" s="6">
        <f t="shared" si="1"/>
        <v>29</v>
      </c>
      <c r="E33" s="6">
        <f t="shared" si="9"/>
        <v>1</v>
      </c>
      <c r="F33" s="6" t="str">
        <f t="shared" si="10"/>
        <v>Jan</v>
      </c>
      <c r="G33" s="7" t="str">
        <f t="shared" si="11"/>
        <v>T1</v>
      </c>
      <c r="H33" s="6">
        <f t="shared" si="12"/>
        <v>2025</v>
      </c>
    </row>
    <row r="34" spans="3:8" x14ac:dyDescent="0.35">
      <c r="C34" s="7">
        <v>45687</v>
      </c>
      <c r="D34" s="6">
        <f t="shared" si="1"/>
        <v>30</v>
      </c>
      <c r="E34" s="6">
        <f t="shared" si="9"/>
        <v>1</v>
      </c>
      <c r="F34" s="6" t="str">
        <f t="shared" si="10"/>
        <v>Jan</v>
      </c>
      <c r="G34" s="7" t="str">
        <f t="shared" si="11"/>
        <v>T1</v>
      </c>
      <c r="H34" s="6">
        <f t="shared" si="12"/>
        <v>2025</v>
      </c>
    </row>
    <row r="35" spans="3:8" x14ac:dyDescent="0.35">
      <c r="C35" s="7">
        <v>45688</v>
      </c>
      <c r="D35" s="6">
        <f t="shared" si="1"/>
        <v>31</v>
      </c>
      <c r="E35" s="6">
        <f t="shared" ref="E35:E98" si="13">MONTH(C35)</f>
        <v>1</v>
      </c>
      <c r="F35" s="6" t="str">
        <f t="shared" ref="F35:F98" si="14">TEXT(C35, "mmm")</f>
        <v>Jan</v>
      </c>
      <c r="G35" s="7" t="str">
        <f t="shared" ref="G35:G98" si="15">"T"&amp;INT((MONTH(C35)-1)/3)+1</f>
        <v>T1</v>
      </c>
      <c r="H35" s="6">
        <f t="shared" ref="H35:H98" si="16">YEAR(C35)</f>
        <v>2025</v>
      </c>
    </row>
    <row r="36" spans="3:8" x14ac:dyDescent="0.35">
      <c r="C36" s="7">
        <v>45689</v>
      </c>
      <c r="D36" s="6">
        <f t="shared" si="1"/>
        <v>1</v>
      </c>
      <c r="E36" s="6">
        <f t="shared" si="13"/>
        <v>2</v>
      </c>
      <c r="F36" s="6" t="str">
        <f t="shared" si="14"/>
        <v>Feb</v>
      </c>
      <c r="G36" s="7" t="str">
        <f t="shared" si="15"/>
        <v>T1</v>
      </c>
      <c r="H36" s="6">
        <f t="shared" si="16"/>
        <v>2025</v>
      </c>
    </row>
    <row r="37" spans="3:8" x14ac:dyDescent="0.35">
      <c r="C37" s="7">
        <v>45690</v>
      </c>
      <c r="D37" s="6">
        <f t="shared" si="1"/>
        <v>2</v>
      </c>
      <c r="E37" s="6">
        <f t="shared" si="13"/>
        <v>2</v>
      </c>
      <c r="F37" s="6" t="str">
        <f t="shared" si="14"/>
        <v>Feb</v>
      </c>
      <c r="G37" s="7" t="str">
        <f t="shared" si="15"/>
        <v>T1</v>
      </c>
      <c r="H37" s="6">
        <f t="shared" si="16"/>
        <v>2025</v>
      </c>
    </row>
    <row r="38" spans="3:8" x14ac:dyDescent="0.35">
      <c r="C38" s="7">
        <v>45691</v>
      </c>
      <c r="D38" s="6">
        <f t="shared" si="1"/>
        <v>3</v>
      </c>
      <c r="E38" s="6">
        <f t="shared" si="13"/>
        <v>2</v>
      </c>
      <c r="F38" s="6" t="str">
        <f t="shared" si="14"/>
        <v>Feb</v>
      </c>
      <c r="G38" s="7" t="str">
        <f t="shared" si="15"/>
        <v>T1</v>
      </c>
      <c r="H38" s="6">
        <f t="shared" si="16"/>
        <v>2025</v>
      </c>
    </row>
    <row r="39" spans="3:8" x14ac:dyDescent="0.35">
      <c r="C39" s="7">
        <v>45692</v>
      </c>
      <c r="D39" s="6">
        <f t="shared" si="1"/>
        <v>4</v>
      </c>
      <c r="E39" s="6">
        <f t="shared" si="13"/>
        <v>2</v>
      </c>
      <c r="F39" s="6" t="str">
        <f t="shared" si="14"/>
        <v>Feb</v>
      </c>
      <c r="G39" s="7" t="str">
        <f t="shared" si="15"/>
        <v>T1</v>
      </c>
      <c r="H39" s="6">
        <f t="shared" si="16"/>
        <v>2025</v>
      </c>
    </row>
    <row r="40" spans="3:8" x14ac:dyDescent="0.35">
      <c r="C40" s="7">
        <v>45693</v>
      </c>
      <c r="D40" s="6">
        <f t="shared" si="1"/>
        <v>5</v>
      </c>
      <c r="E40" s="6">
        <f t="shared" si="13"/>
        <v>2</v>
      </c>
      <c r="F40" s="6" t="str">
        <f t="shared" si="14"/>
        <v>Feb</v>
      </c>
      <c r="G40" s="7" t="str">
        <f t="shared" si="15"/>
        <v>T1</v>
      </c>
      <c r="H40" s="6">
        <f t="shared" si="16"/>
        <v>2025</v>
      </c>
    </row>
    <row r="41" spans="3:8" x14ac:dyDescent="0.35">
      <c r="C41" s="7">
        <v>45694</v>
      </c>
      <c r="D41" s="6">
        <f t="shared" si="1"/>
        <v>6</v>
      </c>
      <c r="E41" s="6">
        <f t="shared" si="13"/>
        <v>2</v>
      </c>
      <c r="F41" s="6" t="str">
        <f t="shared" si="14"/>
        <v>Feb</v>
      </c>
      <c r="G41" s="7" t="str">
        <f t="shared" si="15"/>
        <v>T1</v>
      </c>
      <c r="H41" s="6">
        <f t="shared" si="16"/>
        <v>2025</v>
      </c>
    </row>
    <row r="42" spans="3:8" x14ac:dyDescent="0.35">
      <c r="C42" s="7">
        <v>45695</v>
      </c>
      <c r="D42" s="6">
        <f t="shared" si="1"/>
        <v>7</v>
      </c>
      <c r="E42" s="6">
        <f t="shared" si="13"/>
        <v>2</v>
      </c>
      <c r="F42" s="6" t="str">
        <f t="shared" si="14"/>
        <v>Feb</v>
      </c>
      <c r="G42" s="7" t="str">
        <f t="shared" si="15"/>
        <v>T1</v>
      </c>
      <c r="H42" s="6">
        <f t="shared" si="16"/>
        <v>2025</v>
      </c>
    </row>
    <row r="43" spans="3:8" x14ac:dyDescent="0.35">
      <c r="C43" s="7">
        <v>45696</v>
      </c>
      <c r="D43" s="6">
        <f t="shared" si="1"/>
        <v>8</v>
      </c>
      <c r="E43" s="6">
        <f t="shared" si="13"/>
        <v>2</v>
      </c>
      <c r="F43" s="6" t="str">
        <f t="shared" si="14"/>
        <v>Feb</v>
      </c>
      <c r="G43" s="7" t="str">
        <f t="shared" si="15"/>
        <v>T1</v>
      </c>
      <c r="H43" s="6">
        <f t="shared" si="16"/>
        <v>2025</v>
      </c>
    </row>
    <row r="44" spans="3:8" x14ac:dyDescent="0.35">
      <c r="C44" s="7">
        <v>45697</v>
      </c>
      <c r="D44" s="6">
        <f t="shared" si="1"/>
        <v>9</v>
      </c>
      <c r="E44" s="6">
        <f t="shared" si="13"/>
        <v>2</v>
      </c>
      <c r="F44" s="6" t="str">
        <f t="shared" si="14"/>
        <v>Feb</v>
      </c>
      <c r="G44" s="7" t="str">
        <f t="shared" si="15"/>
        <v>T1</v>
      </c>
      <c r="H44" s="6">
        <f t="shared" si="16"/>
        <v>2025</v>
      </c>
    </row>
    <row r="45" spans="3:8" x14ac:dyDescent="0.35">
      <c r="C45" s="7">
        <v>45698</v>
      </c>
      <c r="D45" s="6">
        <f t="shared" si="1"/>
        <v>10</v>
      </c>
      <c r="E45" s="6">
        <f t="shared" si="13"/>
        <v>2</v>
      </c>
      <c r="F45" s="6" t="str">
        <f t="shared" si="14"/>
        <v>Feb</v>
      </c>
      <c r="G45" s="7" t="str">
        <f t="shared" si="15"/>
        <v>T1</v>
      </c>
      <c r="H45" s="6">
        <f t="shared" si="16"/>
        <v>2025</v>
      </c>
    </row>
    <row r="46" spans="3:8" x14ac:dyDescent="0.35">
      <c r="C46" s="7">
        <v>45699</v>
      </c>
      <c r="D46" s="6">
        <f t="shared" si="1"/>
        <v>11</v>
      </c>
      <c r="E46" s="6">
        <f t="shared" si="13"/>
        <v>2</v>
      </c>
      <c r="F46" s="6" t="str">
        <f t="shared" si="14"/>
        <v>Feb</v>
      </c>
      <c r="G46" s="7" t="str">
        <f t="shared" si="15"/>
        <v>T1</v>
      </c>
      <c r="H46" s="6">
        <f t="shared" si="16"/>
        <v>2025</v>
      </c>
    </row>
    <row r="47" spans="3:8" x14ac:dyDescent="0.35">
      <c r="C47" s="7">
        <v>45700</v>
      </c>
      <c r="D47" s="6">
        <f t="shared" si="1"/>
        <v>12</v>
      </c>
      <c r="E47" s="6">
        <f t="shared" si="13"/>
        <v>2</v>
      </c>
      <c r="F47" s="6" t="str">
        <f t="shared" si="14"/>
        <v>Feb</v>
      </c>
      <c r="G47" s="7" t="str">
        <f t="shared" si="15"/>
        <v>T1</v>
      </c>
      <c r="H47" s="6">
        <f t="shared" si="16"/>
        <v>2025</v>
      </c>
    </row>
    <row r="48" spans="3:8" x14ac:dyDescent="0.35">
      <c r="C48" s="7">
        <v>45701</v>
      </c>
      <c r="D48" s="6">
        <f t="shared" si="1"/>
        <v>13</v>
      </c>
      <c r="E48" s="6">
        <f t="shared" si="13"/>
        <v>2</v>
      </c>
      <c r="F48" s="6" t="str">
        <f t="shared" si="14"/>
        <v>Feb</v>
      </c>
      <c r="G48" s="7" t="str">
        <f t="shared" si="15"/>
        <v>T1</v>
      </c>
      <c r="H48" s="6">
        <f t="shared" si="16"/>
        <v>2025</v>
      </c>
    </row>
    <row r="49" spans="3:8" x14ac:dyDescent="0.35">
      <c r="C49" s="7">
        <v>45702</v>
      </c>
      <c r="D49" s="6">
        <f t="shared" si="1"/>
        <v>14</v>
      </c>
      <c r="E49" s="6">
        <f t="shared" si="13"/>
        <v>2</v>
      </c>
      <c r="F49" s="6" t="str">
        <f t="shared" si="14"/>
        <v>Feb</v>
      </c>
      <c r="G49" s="7" t="str">
        <f t="shared" si="15"/>
        <v>T1</v>
      </c>
      <c r="H49" s="6">
        <f t="shared" si="16"/>
        <v>2025</v>
      </c>
    </row>
    <row r="50" spans="3:8" x14ac:dyDescent="0.35">
      <c r="C50" s="7">
        <v>45703</v>
      </c>
      <c r="D50" s="6">
        <f t="shared" si="1"/>
        <v>15</v>
      </c>
      <c r="E50" s="6">
        <f t="shared" si="13"/>
        <v>2</v>
      </c>
      <c r="F50" s="6" t="str">
        <f t="shared" si="14"/>
        <v>Feb</v>
      </c>
      <c r="G50" s="7" t="str">
        <f t="shared" si="15"/>
        <v>T1</v>
      </c>
      <c r="H50" s="6">
        <f t="shared" si="16"/>
        <v>2025</v>
      </c>
    </row>
    <row r="51" spans="3:8" x14ac:dyDescent="0.35">
      <c r="C51" s="7">
        <v>45704</v>
      </c>
      <c r="D51" s="6">
        <f t="shared" si="1"/>
        <v>16</v>
      </c>
      <c r="E51" s="6">
        <f t="shared" si="13"/>
        <v>2</v>
      </c>
      <c r="F51" s="6" t="str">
        <f t="shared" si="14"/>
        <v>Feb</v>
      </c>
      <c r="G51" s="7" t="str">
        <f t="shared" si="15"/>
        <v>T1</v>
      </c>
      <c r="H51" s="6">
        <f t="shared" si="16"/>
        <v>2025</v>
      </c>
    </row>
    <row r="52" spans="3:8" x14ac:dyDescent="0.35">
      <c r="C52" s="7">
        <v>45705</v>
      </c>
      <c r="D52" s="6">
        <f t="shared" si="1"/>
        <v>17</v>
      </c>
      <c r="E52" s="6">
        <f t="shared" si="13"/>
        <v>2</v>
      </c>
      <c r="F52" s="6" t="str">
        <f t="shared" si="14"/>
        <v>Feb</v>
      </c>
      <c r="G52" s="7" t="str">
        <f t="shared" si="15"/>
        <v>T1</v>
      </c>
      <c r="H52" s="6">
        <f t="shared" si="16"/>
        <v>2025</v>
      </c>
    </row>
    <row r="53" spans="3:8" x14ac:dyDescent="0.35">
      <c r="C53" s="7">
        <v>45706</v>
      </c>
      <c r="D53" s="6">
        <f t="shared" si="1"/>
        <v>18</v>
      </c>
      <c r="E53" s="6">
        <f t="shared" si="13"/>
        <v>2</v>
      </c>
      <c r="F53" s="6" t="str">
        <f t="shared" si="14"/>
        <v>Feb</v>
      </c>
      <c r="G53" s="7" t="str">
        <f t="shared" si="15"/>
        <v>T1</v>
      </c>
      <c r="H53" s="6">
        <f t="shared" si="16"/>
        <v>2025</v>
      </c>
    </row>
    <row r="54" spans="3:8" x14ac:dyDescent="0.35">
      <c r="C54" s="7">
        <v>45707</v>
      </c>
      <c r="D54" s="6">
        <f t="shared" si="1"/>
        <v>19</v>
      </c>
      <c r="E54" s="6">
        <f t="shared" si="13"/>
        <v>2</v>
      </c>
      <c r="F54" s="6" t="str">
        <f t="shared" si="14"/>
        <v>Feb</v>
      </c>
      <c r="G54" s="7" t="str">
        <f t="shared" si="15"/>
        <v>T1</v>
      </c>
      <c r="H54" s="6">
        <f t="shared" si="16"/>
        <v>2025</v>
      </c>
    </row>
    <row r="55" spans="3:8" x14ac:dyDescent="0.35">
      <c r="C55" s="7">
        <v>45708</v>
      </c>
      <c r="D55" s="6">
        <f t="shared" si="1"/>
        <v>20</v>
      </c>
      <c r="E55" s="6">
        <f t="shared" si="13"/>
        <v>2</v>
      </c>
      <c r="F55" s="6" t="str">
        <f t="shared" si="14"/>
        <v>Feb</v>
      </c>
      <c r="G55" s="7" t="str">
        <f t="shared" si="15"/>
        <v>T1</v>
      </c>
      <c r="H55" s="6">
        <f t="shared" si="16"/>
        <v>2025</v>
      </c>
    </row>
    <row r="56" spans="3:8" x14ac:dyDescent="0.35">
      <c r="C56" s="7">
        <v>45709</v>
      </c>
      <c r="D56" s="6">
        <f t="shared" si="1"/>
        <v>21</v>
      </c>
      <c r="E56" s="6">
        <f t="shared" si="13"/>
        <v>2</v>
      </c>
      <c r="F56" s="6" t="str">
        <f t="shared" si="14"/>
        <v>Feb</v>
      </c>
      <c r="G56" s="7" t="str">
        <f t="shared" si="15"/>
        <v>T1</v>
      </c>
      <c r="H56" s="6">
        <f t="shared" si="16"/>
        <v>2025</v>
      </c>
    </row>
    <row r="57" spans="3:8" x14ac:dyDescent="0.35">
      <c r="C57" s="7">
        <v>45710</v>
      </c>
      <c r="D57" s="6">
        <f t="shared" si="1"/>
        <v>22</v>
      </c>
      <c r="E57" s="6">
        <f t="shared" si="13"/>
        <v>2</v>
      </c>
      <c r="F57" s="6" t="str">
        <f t="shared" si="14"/>
        <v>Feb</v>
      </c>
      <c r="G57" s="7" t="str">
        <f t="shared" si="15"/>
        <v>T1</v>
      </c>
      <c r="H57" s="6">
        <f t="shared" si="16"/>
        <v>2025</v>
      </c>
    </row>
    <row r="58" spans="3:8" x14ac:dyDescent="0.35">
      <c r="C58" s="7">
        <v>45711</v>
      </c>
      <c r="D58" s="6">
        <f t="shared" si="1"/>
        <v>23</v>
      </c>
      <c r="E58" s="6">
        <f t="shared" si="13"/>
        <v>2</v>
      </c>
      <c r="F58" s="6" t="str">
        <f t="shared" si="14"/>
        <v>Feb</v>
      </c>
      <c r="G58" s="7" t="str">
        <f t="shared" si="15"/>
        <v>T1</v>
      </c>
      <c r="H58" s="6">
        <f t="shared" si="16"/>
        <v>2025</v>
      </c>
    </row>
    <row r="59" spans="3:8" x14ac:dyDescent="0.35">
      <c r="C59" s="7">
        <v>45712</v>
      </c>
      <c r="D59" s="6">
        <f t="shared" si="1"/>
        <v>24</v>
      </c>
      <c r="E59" s="6">
        <f t="shared" si="13"/>
        <v>2</v>
      </c>
      <c r="F59" s="6" t="str">
        <f t="shared" si="14"/>
        <v>Feb</v>
      </c>
      <c r="G59" s="7" t="str">
        <f t="shared" si="15"/>
        <v>T1</v>
      </c>
      <c r="H59" s="6">
        <f t="shared" si="16"/>
        <v>2025</v>
      </c>
    </row>
    <row r="60" spans="3:8" x14ac:dyDescent="0.35">
      <c r="C60" s="7">
        <v>45713</v>
      </c>
      <c r="D60" s="6">
        <f t="shared" si="1"/>
        <v>25</v>
      </c>
      <c r="E60" s="6">
        <f t="shared" si="13"/>
        <v>2</v>
      </c>
      <c r="F60" s="6" t="str">
        <f t="shared" si="14"/>
        <v>Feb</v>
      </c>
      <c r="G60" s="7" t="str">
        <f t="shared" si="15"/>
        <v>T1</v>
      </c>
      <c r="H60" s="6">
        <f t="shared" si="16"/>
        <v>2025</v>
      </c>
    </row>
    <row r="61" spans="3:8" x14ac:dyDescent="0.35">
      <c r="C61" s="7">
        <v>45714</v>
      </c>
      <c r="D61" s="6">
        <f t="shared" si="1"/>
        <v>26</v>
      </c>
      <c r="E61" s="6">
        <f t="shared" si="13"/>
        <v>2</v>
      </c>
      <c r="F61" s="6" t="str">
        <f t="shared" si="14"/>
        <v>Feb</v>
      </c>
      <c r="G61" s="7" t="str">
        <f t="shared" si="15"/>
        <v>T1</v>
      </c>
      <c r="H61" s="6">
        <f t="shared" si="16"/>
        <v>2025</v>
      </c>
    </row>
    <row r="62" spans="3:8" x14ac:dyDescent="0.35">
      <c r="C62" s="7">
        <v>45715</v>
      </c>
      <c r="D62" s="6">
        <f t="shared" si="1"/>
        <v>27</v>
      </c>
      <c r="E62" s="6">
        <f t="shared" si="13"/>
        <v>2</v>
      </c>
      <c r="F62" s="6" t="str">
        <f t="shared" si="14"/>
        <v>Feb</v>
      </c>
      <c r="G62" s="7" t="str">
        <f t="shared" si="15"/>
        <v>T1</v>
      </c>
      <c r="H62" s="6">
        <f t="shared" si="16"/>
        <v>2025</v>
      </c>
    </row>
    <row r="63" spans="3:8" x14ac:dyDescent="0.35">
      <c r="C63" s="7">
        <v>45716</v>
      </c>
      <c r="D63" s="6">
        <f t="shared" si="1"/>
        <v>28</v>
      </c>
      <c r="E63" s="6">
        <f t="shared" si="13"/>
        <v>2</v>
      </c>
      <c r="F63" s="6" t="str">
        <f t="shared" si="14"/>
        <v>Feb</v>
      </c>
      <c r="G63" s="7" t="str">
        <f t="shared" si="15"/>
        <v>T1</v>
      </c>
      <c r="H63" s="6">
        <f t="shared" si="16"/>
        <v>2025</v>
      </c>
    </row>
    <row r="64" spans="3:8" x14ac:dyDescent="0.35">
      <c r="C64" s="7">
        <v>45717</v>
      </c>
      <c r="D64" s="6">
        <f t="shared" si="1"/>
        <v>1</v>
      </c>
      <c r="E64" s="6">
        <f t="shared" si="13"/>
        <v>3</v>
      </c>
      <c r="F64" s="6" t="str">
        <f t="shared" si="14"/>
        <v>Mar</v>
      </c>
      <c r="G64" s="7" t="str">
        <f t="shared" si="15"/>
        <v>T1</v>
      </c>
      <c r="H64" s="6">
        <f t="shared" si="16"/>
        <v>2025</v>
      </c>
    </row>
    <row r="65" spans="3:8" x14ac:dyDescent="0.35">
      <c r="C65" s="7">
        <v>45718</v>
      </c>
      <c r="D65" s="6">
        <f t="shared" si="1"/>
        <v>2</v>
      </c>
      <c r="E65" s="6">
        <f t="shared" si="13"/>
        <v>3</v>
      </c>
      <c r="F65" s="6" t="str">
        <f t="shared" si="14"/>
        <v>Mar</v>
      </c>
      <c r="G65" s="7" t="str">
        <f t="shared" si="15"/>
        <v>T1</v>
      </c>
      <c r="H65" s="6">
        <f t="shared" si="16"/>
        <v>2025</v>
      </c>
    </row>
    <row r="66" spans="3:8" x14ac:dyDescent="0.35">
      <c r="C66" s="7">
        <v>45719</v>
      </c>
      <c r="D66" s="6">
        <f t="shared" si="1"/>
        <v>3</v>
      </c>
      <c r="E66" s="6">
        <f t="shared" si="13"/>
        <v>3</v>
      </c>
      <c r="F66" s="6" t="str">
        <f t="shared" si="14"/>
        <v>Mar</v>
      </c>
      <c r="G66" s="7" t="str">
        <f t="shared" si="15"/>
        <v>T1</v>
      </c>
      <c r="H66" s="6">
        <f t="shared" si="16"/>
        <v>2025</v>
      </c>
    </row>
    <row r="67" spans="3:8" x14ac:dyDescent="0.35">
      <c r="C67" s="7">
        <v>45720</v>
      </c>
      <c r="D67" s="6">
        <f t="shared" si="1"/>
        <v>4</v>
      </c>
      <c r="E67" s="6">
        <f t="shared" si="13"/>
        <v>3</v>
      </c>
      <c r="F67" s="6" t="str">
        <f t="shared" si="14"/>
        <v>Mar</v>
      </c>
      <c r="G67" s="7" t="str">
        <f t="shared" si="15"/>
        <v>T1</v>
      </c>
      <c r="H67" s="6">
        <f t="shared" si="16"/>
        <v>2025</v>
      </c>
    </row>
    <row r="68" spans="3:8" x14ac:dyDescent="0.35">
      <c r="C68" s="7">
        <v>45721</v>
      </c>
      <c r="D68" s="6">
        <f t="shared" si="1"/>
        <v>5</v>
      </c>
      <c r="E68" s="6">
        <f t="shared" si="13"/>
        <v>3</v>
      </c>
      <c r="F68" s="6" t="str">
        <f t="shared" si="14"/>
        <v>Mar</v>
      </c>
      <c r="G68" s="7" t="str">
        <f t="shared" si="15"/>
        <v>T1</v>
      </c>
      <c r="H68" s="6">
        <f t="shared" si="16"/>
        <v>2025</v>
      </c>
    </row>
    <row r="69" spans="3:8" x14ac:dyDescent="0.35">
      <c r="C69" s="7">
        <v>45722</v>
      </c>
      <c r="D69" s="6">
        <f t="shared" si="1"/>
        <v>6</v>
      </c>
      <c r="E69" s="6">
        <f t="shared" si="13"/>
        <v>3</v>
      </c>
      <c r="F69" s="6" t="str">
        <f t="shared" si="14"/>
        <v>Mar</v>
      </c>
      <c r="G69" s="7" t="str">
        <f t="shared" si="15"/>
        <v>T1</v>
      </c>
      <c r="H69" s="6">
        <f t="shared" si="16"/>
        <v>2025</v>
      </c>
    </row>
    <row r="70" spans="3:8" x14ac:dyDescent="0.35">
      <c r="C70" s="7">
        <v>45723</v>
      </c>
      <c r="D70" s="6">
        <f t="shared" ref="D70:D133" si="17">DAY(C70)</f>
        <v>7</v>
      </c>
      <c r="E70" s="6">
        <f t="shared" si="13"/>
        <v>3</v>
      </c>
      <c r="F70" s="6" t="str">
        <f t="shared" si="14"/>
        <v>Mar</v>
      </c>
      <c r="G70" s="7" t="str">
        <f t="shared" si="15"/>
        <v>T1</v>
      </c>
      <c r="H70" s="6">
        <f t="shared" si="16"/>
        <v>2025</v>
      </c>
    </row>
    <row r="71" spans="3:8" x14ac:dyDescent="0.35">
      <c r="C71" s="7">
        <v>45724</v>
      </c>
      <c r="D71" s="6">
        <f t="shared" si="17"/>
        <v>8</v>
      </c>
      <c r="E71" s="6">
        <f t="shared" si="13"/>
        <v>3</v>
      </c>
      <c r="F71" s="6" t="str">
        <f t="shared" si="14"/>
        <v>Mar</v>
      </c>
      <c r="G71" s="7" t="str">
        <f t="shared" si="15"/>
        <v>T1</v>
      </c>
      <c r="H71" s="6">
        <f t="shared" si="16"/>
        <v>2025</v>
      </c>
    </row>
    <row r="72" spans="3:8" x14ac:dyDescent="0.35">
      <c r="C72" s="7">
        <v>45725</v>
      </c>
      <c r="D72" s="6">
        <f t="shared" si="17"/>
        <v>9</v>
      </c>
      <c r="E72" s="6">
        <f t="shared" si="13"/>
        <v>3</v>
      </c>
      <c r="F72" s="6" t="str">
        <f t="shared" si="14"/>
        <v>Mar</v>
      </c>
      <c r="G72" s="7" t="str">
        <f t="shared" si="15"/>
        <v>T1</v>
      </c>
      <c r="H72" s="6">
        <f t="shared" si="16"/>
        <v>2025</v>
      </c>
    </row>
    <row r="73" spans="3:8" x14ac:dyDescent="0.35">
      <c r="C73" s="7">
        <v>45726</v>
      </c>
      <c r="D73" s="6">
        <f t="shared" si="17"/>
        <v>10</v>
      </c>
      <c r="E73" s="6">
        <f t="shared" si="13"/>
        <v>3</v>
      </c>
      <c r="F73" s="6" t="str">
        <f t="shared" si="14"/>
        <v>Mar</v>
      </c>
      <c r="G73" s="7" t="str">
        <f t="shared" si="15"/>
        <v>T1</v>
      </c>
      <c r="H73" s="6">
        <f t="shared" si="16"/>
        <v>2025</v>
      </c>
    </row>
    <row r="74" spans="3:8" x14ac:dyDescent="0.35">
      <c r="C74" s="7">
        <v>45727</v>
      </c>
      <c r="D74" s="6">
        <f t="shared" si="17"/>
        <v>11</v>
      </c>
      <c r="E74" s="6">
        <f t="shared" si="13"/>
        <v>3</v>
      </c>
      <c r="F74" s="6" t="str">
        <f t="shared" si="14"/>
        <v>Mar</v>
      </c>
      <c r="G74" s="7" t="str">
        <f t="shared" si="15"/>
        <v>T1</v>
      </c>
      <c r="H74" s="6">
        <f t="shared" si="16"/>
        <v>2025</v>
      </c>
    </row>
    <row r="75" spans="3:8" x14ac:dyDescent="0.35">
      <c r="C75" s="7">
        <v>45728</v>
      </c>
      <c r="D75" s="6">
        <f t="shared" si="17"/>
        <v>12</v>
      </c>
      <c r="E75" s="6">
        <f t="shared" si="13"/>
        <v>3</v>
      </c>
      <c r="F75" s="6" t="str">
        <f t="shared" si="14"/>
        <v>Mar</v>
      </c>
      <c r="G75" s="7" t="str">
        <f t="shared" si="15"/>
        <v>T1</v>
      </c>
      <c r="H75" s="6">
        <f t="shared" si="16"/>
        <v>2025</v>
      </c>
    </row>
    <row r="76" spans="3:8" x14ac:dyDescent="0.35">
      <c r="C76" s="7">
        <v>45729</v>
      </c>
      <c r="D76" s="6">
        <f t="shared" si="17"/>
        <v>13</v>
      </c>
      <c r="E76" s="6">
        <f t="shared" si="13"/>
        <v>3</v>
      </c>
      <c r="F76" s="6" t="str">
        <f t="shared" si="14"/>
        <v>Mar</v>
      </c>
      <c r="G76" s="7" t="str">
        <f t="shared" si="15"/>
        <v>T1</v>
      </c>
      <c r="H76" s="6">
        <f t="shared" si="16"/>
        <v>2025</v>
      </c>
    </row>
    <row r="77" spans="3:8" x14ac:dyDescent="0.35">
      <c r="C77" s="7">
        <v>45730</v>
      </c>
      <c r="D77" s="6">
        <f t="shared" si="17"/>
        <v>14</v>
      </c>
      <c r="E77" s="6">
        <f t="shared" si="13"/>
        <v>3</v>
      </c>
      <c r="F77" s="6" t="str">
        <f t="shared" si="14"/>
        <v>Mar</v>
      </c>
      <c r="G77" s="7" t="str">
        <f t="shared" si="15"/>
        <v>T1</v>
      </c>
      <c r="H77" s="6">
        <f t="shared" si="16"/>
        <v>2025</v>
      </c>
    </row>
    <row r="78" spans="3:8" x14ac:dyDescent="0.35">
      <c r="C78" s="7">
        <v>45731</v>
      </c>
      <c r="D78" s="6">
        <f t="shared" si="17"/>
        <v>15</v>
      </c>
      <c r="E78" s="6">
        <f t="shared" si="13"/>
        <v>3</v>
      </c>
      <c r="F78" s="6" t="str">
        <f t="shared" si="14"/>
        <v>Mar</v>
      </c>
      <c r="G78" s="7" t="str">
        <f t="shared" si="15"/>
        <v>T1</v>
      </c>
      <c r="H78" s="6">
        <f t="shared" si="16"/>
        <v>2025</v>
      </c>
    </row>
    <row r="79" spans="3:8" x14ac:dyDescent="0.35">
      <c r="C79" s="7">
        <v>45732</v>
      </c>
      <c r="D79" s="6">
        <f t="shared" si="17"/>
        <v>16</v>
      </c>
      <c r="E79" s="6">
        <f t="shared" si="13"/>
        <v>3</v>
      </c>
      <c r="F79" s="6" t="str">
        <f t="shared" si="14"/>
        <v>Mar</v>
      </c>
      <c r="G79" s="7" t="str">
        <f t="shared" si="15"/>
        <v>T1</v>
      </c>
      <c r="H79" s="6">
        <f t="shared" si="16"/>
        <v>2025</v>
      </c>
    </row>
    <row r="80" spans="3:8" x14ac:dyDescent="0.35">
      <c r="C80" s="7">
        <v>45733</v>
      </c>
      <c r="D80" s="6">
        <f t="shared" si="17"/>
        <v>17</v>
      </c>
      <c r="E80" s="6">
        <f t="shared" si="13"/>
        <v>3</v>
      </c>
      <c r="F80" s="6" t="str">
        <f t="shared" si="14"/>
        <v>Mar</v>
      </c>
      <c r="G80" s="7" t="str">
        <f t="shared" si="15"/>
        <v>T1</v>
      </c>
      <c r="H80" s="6">
        <f t="shared" si="16"/>
        <v>2025</v>
      </c>
    </row>
    <row r="81" spans="3:8" x14ac:dyDescent="0.35">
      <c r="C81" s="7">
        <v>45734</v>
      </c>
      <c r="D81" s="6">
        <f t="shared" si="17"/>
        <v>18</v>
      </c>
      <c r="E81" s="6">
        <f t="shared" si="13"/>
        <v>3</v>
      </c>
      <c r="F81" s="6" t="str">
        <f t="shared" si="14"/>
        <v>Mar</v>
      </c>
      <c r="G81" s="7" t="str">
        <f t="shared" si="15"/>
        <v>T1</v>
      </c>
      <c r="H81" s="6">
        <f t="shared" si="16"/>
        <v>2025</v>
      </c>
    </row>
    <row r="82" spans="3:8" x14ac:dyDescent="0.35">
      <c r="C82" s="7">
        <v>45735</v>
      </c>
      <c r="D82" s="6">
        <f t="shared" si="17"/>
        <v>19</v>
      </c>
      <c r="E82" s="6">
        <f t="shared" si="13"/>
        <v>3</v>
      </c>
      <c r="F82" s="6" t="str">
        <f t="shared" si="14"/>
        <v>Mar</v>
      </c>
      <c r="G82" s="7" t="str">
        <f t="shared" si="15"/>
        <v>T1</v>
      </c>
      <c r="H82" s="6">
        <f t="shared" si="16"/>
        <v>2025</v>
      </c>
    </row>
    <row r="83" spans="3:8" x14ac:dyDescent="0.35">
      <c r="C83" s="7">
        <v>45736</v>
      </c>
      <c r="D83" s="6">
        <f t="shared" si="17"/>
        <v>20</v>
      </c>
      <c r="E83" s="6">
        <f t="shared" si="13"/>
        <v>3</v>
      </c>
      <c r="F83" s="6" t="str">
        <f t="shared" si="14"/>
        <v>Mar</v>
      </c>
      <c r="G83" s="7" t="str">
        <f t="shared" si="15"/>
        <v>T1</v>
      </c>
      <c r="H83" s="6">
        <f t="shared" si="16"/>
        <v>2025</v>
      </c>
    </row>
    <row r="84" spans="3:8" x14ac:dyDescent="0.35">
      <c r="C84" s="7">
        <v>45737</v>
      </c>
      <c r="D84" s="6">
        <f t="shared" si="17"/>
        <v>21</v>
      </c>
      <c r="E84" s="6">
        <f t="shared" si="13"/>
        <v>3</v>
      </c>
      <c r="F84" s="6" t="str">
        <f t="shared" si="14"/>
        <v>Mar</v>
      </c>
      <c r="G84" s="7" t="str">
        <f t="shared" si="15"/>
        <v>T1</v>
      </c>
      <c r="H84" s="6">
        <f t="shared" si="16"/>
        <v>2025</v>
      </c>
    </row>
    <row r="85" spans="3:8" x14ac:dyDescent="0.35">
      <c r="C85" s="7">
        <v>45738</v>
      </c>
      <c r="D85" s="6">
        <f t="shared" si="17"/>
        <v>22</v>
      </c>
      <c r="E85" s="6">
        <f t="shared" si="13"/>
        <v>3</v>
      </c>
      <c r="F85" s="6" t="str">
        <f t="shared" si="14"/>
        <v>Mar</v>
      </c>
      <c r="G85" s="7" t="str">
        <f t="shared" si="15"/>
        <v>T1</v>
      </c>
      <c r="H85" s="6">
        <f t="shared" si="16"/>
        <v>2025</v>
      </c>
    </row>
    <row r="86" spans="3:8" x14ac:dyDescent="0.35">
      <c r="C86" s="7">
        <v>45739</v>
      </c>
      <c r="D86" s="6">
        <f t="shared" si="17"/>
        <v>23</v>
      </c>
      <c r="E86" s="6">
        <f t="shared" si="13"/>
        <v>3</v>
      </c>
      <c r="F86" s="6" t="str">
        <f t="shared" si="14"/>
        <v>Mar</v>
      </c>
      <c r="G86" s="7" t="str">
        <f t="shared" si="15"/>
        <v>T1</v>
      </c>
      <c r="H86" s="6">
        <f t="shared" si="16"/>
        <v>2025</v>
      </c>
    </row>
    <row r="87" spans="3:8" x14ac:dyDescent="0.35">
      <c r="C87" s="7">
        <v>45740</v>
      </c>
      <c r="D87" s="6">
        <f t="shared" si="17"/>
        <v>24</v>
      </c>
      <c r="E87" s="6">
        <f t="shared" si="13"/>
        <v>3</v>
      </c>
      <c r="F87" s="6" t="str">
        <f t="shared" si="14"/>
        <v>Mar</v>
      </c>
      <c r="G87" s="7" t="str">
        <f t="shared" si="15"/>
        <v>T1</v>
      </c>
      <c r="H87" s="6">
        <f t="shared" si="16"/>
        <v>2025</v>
      </c>
    </row>
    <row r="88" spans="3:8" x14ac:dyDescent="0.35">
      <c r="C88" s="7">
        <v>45741</v>
      </c>
      <c r="D88" s="6">
        <f t="shared" si="17"/>
        <v>25</v>
      </c>
      <c r="E88" s="6">
        <f t="shared" si="13"/>
        <v>3</v>
      </c>
      <c r="F88" s="6" t="str">
        <f t="shared" si="14"/>
        <v>Mar</v>
      </c>
      <c r="G88" s="7" t="str">
        <f t="shared" si="15"/>
        <v>T1</v>
      </c>
      <c r="H88" s="6">
        <f t="shared" si="16"/>
        <v>2025</v>
      </c>
    </row>
    <row r="89" spans="3:8" x14ac:dyDescent="0.35">
      <c r="C89" s="7">
        <v>45742</v>
      </c>
      <c r="D89" s="6">
        <f t="shared" si="17"/>
        <v>26</v>
      </c>
      <c r="E89" s="6">
        <f t="shared" si="13"/>
        <v>3</v>
      </c>
      <c r="F89" s="6" t="str">
        <f t="shared" si="14"/>
        <v>Mar</v>
      </c>
      <c r="G89" s="7" t="str">
        <f t="shared" si="15"/>
        <v>T1</v>
      </c>
      <c r="H89" s="6">
        <f t="shared" si="16"/>
        <v>2025</v>
      </c>
    </row>
    <row r="90" spans="3:8" x14ac:dyDescent="0.35">
      <c r="C90" s="7">
        <v>45743</v>
      </c>
      <c r="D90" s="6">
        <f t="shared" si="17"/>
        <v>27</v>
      </c>
      <c r="E90" s="6">
        <f t="shared" si="13"/>
        <v>3</v>
      </c>
      <c r="F90" s="6" t="str">
        <f t="shared" si="14"/>
        <v>Mar</v>
      </c>
      <c r="G90" s="7" t="str">
        <f t="shared" si="15"/>
        <v>T1</v>
      </c>
      <c r="H90" s="6">
        <f t="shared" si="16"/>
        <v>2025</v>
      </c>
    </row>
    <row r="91" spans="3:8" x14ac:dyDescent="0.35">
      <c r="C91" s="7">
        <v>45744</v>
      </c>
      <c r="D91" s="6">
        <f t="shared" si="17"/>
        <v>28</v>
      </c>
      <c r="E91" s="6">
        <f t="shared" si="13"/>
        <v>3</v>
      </c>
      <c r="F91" s="6" t="str">
        <f t="shared" si="14"/>
        <v>Mar</v>
      </c>
      <c r="G91" s="7" t="str">
        <f t="shared" si="15"/>
        <v>T1</v>
      </c>
      <c r="H91" s="6">
        <f t="shared" si="16"/>
        <v>2025</v>
      </c>
    </row>
    <row r="92" spans="3:8" x14ac:dyDescent="0.35">
      <c r="C92" s="7">
        <v>45745</v>
      </c>
      <c r="D92" s="6">
        <f t="shared" si="17"/>
        <v>29</v>
      </c>
      <c r="E92" s="6">
        <f t="shared" si="13"/>
        <v>3</v>
      </c>
      <c r="F92" s="6" t="str">
        <f t="shared" si="14"/>
        <v>Mar</v>
      </c>
      <c r="G92" s="7" t="str">
        <f t="shared" si="15"/>
        <v>T1</v>
      </c>
      <c r="H92" s="6">
        <f t="shared" si="16"/>
        <v>2025</v>
      </c>
    </row>
    <row r="93" spans="3:8" x14ac:dyDescent="0.35">
      <c r="C93" s="7">
        <v>45746</v>
      </c>
      <c r="D93" s="6">
        <f t="shared" si="17"/>
        <v>30</v>
      </c>
      <c r="E93" s="6">
        <f t="shared" si="13"/>
        <v>3</v>
      </c>
      <c r="F93" s="6" t="str">
        <f t="shared" si="14"/>
        <v>Mar</v>
      </c>
      <c r="G93" s="7" t="str">
        <f t="shared" si="15"/>
        <v>T1</v>
      </c>
      <c r="H93" s="6">
        <f t="shared" si="16"/>
        <v>2025</v>
      </c>
    </row>
    <row r="94" spans="3:8" x14ac:dyDescent="0.35">
      <c r="C94" s="7">
        <v>45747</v>
      </c>
      <c r="D94" s="6">
        <f t="shared" si="17"/>
        <v>31</v>
      </c>
      <c r="E94" s="6">
        <f t="shared" si="13"/>
        <v>3</v>
      </c>
      <c r="F94" s="6" t="str">
        <f t="shared" si="14"/>
        <v>Mar</v>
      </c>
      <c r="G94" s="7" t="str">
        <f t="shared" si="15"/>
        <v>T1</v>
      </c>
      <c r="H94" s="6">
        <f t="shared" si="16"/>
        <v>2025</v>
      </c>
    </row>
    <row r="95" spans="3:8" x14ac:dyDescent="0.35">
      <c r="C95" s="7">
        <v>45748</v>
      </c>
      <c r="D95" s="6">
        <f t="shared" si="17"/>
        <v>1</v>
      </c>
      <c r="E95" s="6">
        <f t="shared" si="13"/>
        <v>4</v>
      </c>
      <c r="F95" s="6" t="str">
        <f t="shared" si="14"/>
        <v>Apr</v>
      </c>
      <c r="G95" s="7" t="str">
        <f t="shared" si="15"/>
        <v>T2</v>
      </c>
      <c r="H95" s="6">
        <f t="shared" si="16"/>
        <v>2025</v>
      </c>
    </row>
    <row r="96" spans="3:8" x14ac:dyDescent="0.35">
      <c r="C96" s="7">
        <v>45749</v>
      </c>
      <c r="D96" s="6">
        <f t="shared" si="17"/>
        <v>2</v>
      </c>
      <c r="E96" s="6">
        <f t="shared" si="13"/>
        <v>4</v>
      </c>
      <c r="F96" s="6" t="str">
        <f t="shared" si="14"/>
        <v>Apr</v>
      </c>
      <c r="G96" s="7" t="str">
        <f t="shared" si="15"/>
        <v>T2</v>
      </c>
      <c r="H96" s="6">
        <f t="shared" si="16"/>
        <v>2025</v>
      </c>
    </row>
    <row r="97" spans="3:8" x14ac:dyDescent="0.35">
      <c r="C97" s="7">
        <v>45750</v>
      </c>
      <c r="D97" s="6">
        <f t="shared" si="17"/>
        <v>3</v>
      </c>
      <c r="E97" s="6">
        <f t="shared" si="13"/>
        <v>4</v>
      </c>
      <c r="F97" s="6" t="str">
        <f t="shared" si="14"/>
        <v>Apr</v>
      </c>
      <c r="G97" s="7" t="str">
        <f t="shared" si="15"/>
        <v>T2</v>
      </c>
      <c r="H97" s="6">
        <f t="shared" si="16"/>
        <v>2025</v>
      </c>
    </row>
    <row r="98" spans="3:8" x14ac:dyDescent="0.35">
      <c r="C98" s="7">
        <v>45751</v>
      </c>
      <c r="D98" s="6">
        <f t="shared" si="17"/>
        <v>4</v>
      </c>
      <c r="E98" s="6">
        <f t="shared" si="13"/>
        <v>4</v>
      </c>
      <c r="F98" s="6" t="str">
        <f t="shared" si="14"/>
        <v>Apr</v>
      </c>
      <c r="G98" s="7" t="str">
        <f t="shared" si="15"/>
        <v>T2</v>
      </c>
      <c r="H98" s="6">
        <f t="shared" si="16"/>
        <v>2025</v>
      </c>
    </row>
    <row r="99" spans="3:8" x14ac:dyDescent="0.35">
      <c r="C99" s="7">
        <v>45752</v>
      </c>
      <c r="D99" s="6">
        <f t="shared" si="17"/>
        <v>5</v>
      </c>
      <c r="E99" s="6">
        <f t="shared" ref="E99:E162" si="18">MONTH(C99)</f>
        <v>4</v>
      </c>
      <c r="F99" s="6" t="str">
        <f t="shared" ref="F99:F162" si="19">TEXT(C99, "mmm")</f>
        <v>Apr</v>
      </c>
      <c r="G99" s="7" t="str">
        <f t="shared" ref="G99:G162" si="20">"T"&amp;INT((MONTH(C99)-1)/3)+1</f>
        <v>T2</v>
      </c>
      <c r="H99" s="6">
        <f t="shared" ref="H99:H162" si="21">YEAR(C99)</f>
        <v>2025</v>
      </c>
    </row>
    <row r="100" spans="3:8" x14ac:dyDescent="0.35">
      <c r="C100" s="7">
        <v>45753</v>
      </c>
      <c r="D100" s="6">
        <f t="shared" si="17"/>
        <v>6</v>
      </c>
      <c r="E100" s="6">
        <f t="shared" si="18"/>
        <v>4</v>
      </c>
      <c r="F100" s="6" t="str">
        <f t="shared" si="19"/>
        <v>Apr</v>
      </c>
      <c r="G100" s="7" t="str">
        <f t="shared" si="20"/>
        <v>T2</v>
      </c>
      <c r="H100" s="6">
        <f t="shared" si="21"/>
        <v>2025</v>
      </c>
    </row>
    <row r="101" spans="3:8" x14ac:dyDescent="0.35">
      <c r="C101" s="7">
        <v>45754</v>
      </c>
      <c r="D101" s="6">
        <f t="shared" si="17"/>
        <v>7</v>
      </c>
      <c r="E101" s="6">
        <f t="shared" si="18"/>
        <v>4</v>
      </c>
      <c r="F101" s="6" t="str">
        <f t="shared" si="19"/>
        <v>Apr</v>
      </c>
      <c r="G101" s="7" t="str">
        <f t="shared" si="20"/>
        <v>T2</v>
      </c>
      <c r="H101" s="6">
        <f t="shared" si="21"/>
        <v>2025</v>
      </c>
    </row>
    <row r="102" spans="3:8" x14ac:dyDescent="0.35">
      <c r="C102" s="7">
        <v>45755</v>
      </c>
      <c r="D102" s="6">
        <f t="shared" si="17"/>
        <v>8</v>
      </c>
      <c r="E102" s="6">
        <f t="shared" si="18"/>
        <v>4</v>
      </c>
      <c r="F102" s="6" t="str">
        <f t="shared" si="19"/>
        <v>Apr</v>
      </c>
      <c r="G102" s="7" t="str">
        <f t="shared" si="20"/>
        <v>T2</v>
      </c>
      <c r="H102" s="6">
        <f t="shared" si="21"/>
        <v>2025</v>
      </c>
    </row>
    <row r="103" spans="3:8" x14ac:dyDescent="0.35">
      <c r="C103" s="7">
        <v>45756</v>
      </c>
      <c r="D103" s="6">
        <f t="shared" si="17"/>
        <v>9</v>
      </c>
      <c r="E103" s="6">
        <f t="shared" si="18"/>
        <v>4</v>
      </c>
      <c r="F103" s="6" t="str">
        <f t="shared" si="19"/>
        <v>Apr</v>
      </c>
      <c r="G103" s="7" t="str">
        <f t="shared" si="20"/>
        <v>T2</v>
      </c>
      <c r="H103" s="6">
        <f t="shared" si="21"/>
        <v>2025</v>
      </c>
    </row>
    <row r="104" spans="3:8" x14ac:dyDescent="0.35">
      <c r="C104" s="7">
        <v>45757</v>
      </c>
      <c r="D104" s="6">
        <f t="shared" si="17"/>
        <v>10</v>
      </c>
      <c r="E104" s="6">
        <f t="shared" si="18"/>
        <v>4</v>
      </c>
      <c r="F104" s="6" t="str">
        <f t="shared" si="19"/>
        <v>Apr</v>
      </c>
      <c r="G104" s="7" t="str">
        <f t="shared" si="20"/>
        <v>T2</v>
      </c>
      <c r="H104" s="6">
        <f t="shared" si="21"/>
        <v>2025</v>
      </c>
    </row>
    <row r="105" spans="3:8" x14ac:dyDescent="0.35">
      <c r="C105" s="7">
        <v>45758</v>
      </c>
      <c r="D105" s="6">
        <f t="shared" si="17"/>
        <v>11</v>
      </c>
      <c r="E105" s="6">
        <f t="shared" si="18"/>
        <v>4</v>
      </c>
      <c r="F105" s="6" t="str">
        <f t="shared" si="19"/>
        <v>Apr</v>
      </c>
      <c r="G105" s="7" t="str">
        <f t="shared" si="20"/>
        <v>T2</v>
      </c>
      <c r="H105" s="6">
        <f t="shared" si="21"/>
        <v>2025</v>
      </c>
    </row>
    <row r="106" spans="3:8" x14ac:dyDescent="0.35">
      <c r="C106" s="7">
        <v>45759</v>
      </c>
      <c r="D106" s="6">
        <f t="shared" si="17"/>
        <v>12</v>
      </c>
      <c r="E106" s="6">
        <f t="shared" si="18"/>
        <v>4</v>
      </c>
      <c r="F106" s="6" t="str">
        <f t="shared" si="19"/>
        <v>Apr</v>
      </c>
      <c r="G106" s="7" t="str">
        <f t="shared" si="20"/>
        <v>T2</v>
      </c>
      <c r="H106" s="6">
        <f t="shared" si="21"/>
        <v>2025</v>
      </c>
    </row>
    <row r="107" spans="3:8" x14ac:dyDescent="0.35">
      <c r="C107" s="7">
        <v>45760</v>
      </c>
      <c r="D107" s="6">
        <f t="shared" si="17"/>
        <v>13</v>
      </c>
      <c r="E107" s="6">
        <f t="shared" si="18"/>
        <v>4</v>
      </c>
      <c r="F107" s="6" t="str">
        <f t="shared" si="19"/>
        <v>Apr</v>
      </c>
      <c r="G107" s="7" t="str">
        <f t="shared" si="20"/>
        <v>T2</v>
      </c>
      <c r="H107" s="6">
        <f t="shared" si="21"/>
        <v>2025</v>
      </c>
    </row>
    <row r="108" spans="3:8" x14ac:dyDescent="0.35">
      <c r="C108" s="7">
        <v>45761</v>
      </c>
      <c r="D108" s="6">
        <f t="shared" si="17"/>
        <v>14</v>
      </c>
      <c r="E108" s="6">
        <f t="shared" si="18"/>
        <v>4</v>
      </c>
      <c r="F108" s="6" t="str">
        <f t="shared" si="19"/>
        <v>Apr</v>
      </c>
      <c r="G108" s="7" t="str">
        <f t="shared" si="20"/>
        <v>T2</v>
      </c>
      <c r="H108" s="6">
        <f t="shared" si="21"/>
        <v>2025</v>
      </c>
    </row>
    <row r="109" spans="3:8" x14ac:dyDescent="0.35">
      <c r="C109" s="7">
        <v>45762</v>
      </c>
      <c r="D109" s="6">
        <f t="shared" si="17"/>
        <v>15</v>
      </c>
      <c r="E109" s="6">
        <f t="shared" si="18"/>
        <v>4</v>
      </c>
      <c r="F109" s="6" t="str">
        <f t="shared" si="19"/>
        <v>Apr</v>
      </c>
      <c r="G109" s="7" t="str">
        <f t="shared" si="20"/>
        <v>T2</v>
      </c>
      <c r="H109" s="6">
        <f t="shared" si="21"/>
        <v>2025</v>
      </c>
    </row>
    <row r="110" spans="3:8" x14ac:dyDescent="0.35">
      <c r="C110" s="7">
        <v>45763</v>
      </c>
      <c r="D110" s="6">
        <f t="shared" si="17"/>
        <v>16</v>
      </c>
      <c r="E110" s="6">
        <f t="shared" si="18"/>
        <v>4</v>
      </c>
      <c r="F110" s="6" t="str">
        <f t="shared" si="19"/>
        <v>Apr</v>
      </c>
      <c r="G110" s="7" t="str">
        <f t="shared" si="20"/>
        <v>T2</v>
      </c>
      <c r="H110" s="6">
        <f t="shared" si="21"/>
        <v>2025</v>
      </c>
    </row>
    <row r="111" spans="3:8" x14ac:dyDescent="0.35">
      <c r="C111" s="7">
        <v>45764</v>
      </c>
      <c r="D111" s="6">
        <f t="shared" si="17"/>
        <v>17</v>
      </c>
      <c r="E111" s="6">
        <f t="shared" si="18"/>
        <v>4</v>
      </c>
      <c r="F111" s="6" t="str">
        <f t="shared" si="19"/>
        <v>Apr</v>
      </c>
      <c r="G111" s="7" t="str">
        <f t="shared" si="20"/>
        <v>T2</v>
      </c>
      <c r="H111" s="6">
        <f t="shared" si="21"/>
        <v>2025</v>
      </c>
    </row>
    <row r="112" spans="3:8" x14ac:dyDescent="0.35">
      <c r="C112" s="7">
        <v>45765</v>
      </c>
      <c r="D112" s="6">
        <f t="shared" si="17"/>
        <v>18</v>
      </c>
      <c r="E112" s="6">
        <f t="shared" si="18"/>
        <v>4</v>
      </c>
      <c r="F112" s="6" t="str">
        <f t="shared" si="19"/>
        <v>Apr</v>
      </c>
      <c r="G112" s="7" t="str">
        <f t="shared" si="20"/>
        <v>T2</v>
      </c>
      <c r="H112" s="6">
        <f t="shared" si="21"/>
        <v>2025</v>
      </c>
    </row>
    <row r="113" spans="3:8" x14ac:dyDescent="0.35">
      <c r="C113" s="7">
        <v>45766</v>
      </c>
      <c r="D113" s="6">
        <f t="shared" si="17"/>
        <v>19</v>
      </c>
      <c r="E113" s="6">
        <f t="shared" si="18"/>
        <v>4</v>
      </c>
      <c r="F113" s="6" t="str">
        <f t="shared" si="19"/>
        <v>Apr</v>
      </c>
      <c r="G113" s="7" t="str">
        <f t="shared" si="20"/>
        <v>T2</v>
      </c>
      <c r="H113" s="6">
        <f t="shared" si="21"/>
        <v>2025</v>
      </c>
    </row>
    <row r="114" spans="3:8" x14ac:dyDescent="0.35">
      <c r="C114" s="7">
        <v>45767</v>
      </c>
      <c r="D114" s="6">
        <f t="shared" si="17"/>
        <v>20</v>
      </c>
      <c r="E114" s="6">
        <f t="shared" si="18"/>
        <v>4</v>
      </c>
      <c r="F114" s="6" t="str">
        <f t="shared" si="19"/>
        <v>Apr</v>
      </c>
      <c r="G114" s="7" t="str">
        <f t="shared" si="20"/>
        <v>T2</v>
      </c>
      <c r="H114" s="6">
        <f t="shared" si="21"/>
        <v>2025</v>
      </c>
    </row>
    <row r="115" spans="3:8" x14ac:dyDescent="0.35">
      <c r="C115" s="7">
        <v>45768</v>
      </c>
      <c r="D115" s="6">
        <f t="shared" si="17"/>
        <v>21</v>
      </c>
      <c r="E115" s="6">
        <f t="shared" si="18"/>
        <v>4</v>
      </c>
      <c r="F115" s="6" t="str">
        <f t="shared" si="19"/>
        <v>Apr</v>
      </c>
      <c r="G115" s="7" t="str">
        <f t="shared" si="20"/>
        <v>T2</v>
      </c>
      <c r="H115" s="6">
        <f t="shared" si="21"/>
        <v>2025</v>
      </c>
    </row>
    <row r="116" spans="3:8" x14ac:dyDescent="0.35">
      <c r="C116" s="7">
        <v>45769</v>
      </c>
      <c r="D116" s="6">
        <f t="shared" si="17"/>
        <v>22</v>
      </c>
      <c r="E116" s="6">
        <f t="shared" si="18"/>
        <v>4</v>
      </c>
      <c r="F116" s="6" t="str">
        <f t="shared" si="19"/>
        <v>Apr</v>
      </c>
      <c r="G116" s="7" t="str">
        <f t="shared" si="20"/>
        <v>T2</v>
      </c>
      <c r="H116" s="6">
        <f t="shared" si="21"/>
        <v>2025</v>
      </c>
    </row>
    <row r="117" spans="3:8" x14ac:dyDescent="0.35">
      <c r="C117" s="7">
        <v>45770</v>
      </c>
      <c r="D117" s="6">
        <f t="shared" si="17"/>
        <v>23</v>
      </c>
      <c r="E117" s="6">
        <f t="shared" si="18"/>
        <v>4</v>
      </c>
      <c r="F117" s="6" t="str">
        <f t="shared" si="19"/>
        <v>Apr</v>
      </c>
      <c r="G117" s="7" t="str">
        <f t="shared" si="20"/>
        <v>T2</v>
      </c>
      <c r="H117" s="6">
        <f t="shared" si="21"/>
        <v>2025</v>
      </c>
    </row>
    <row r="118" spans="3:8" x14ac:dyDescent="0.35">
      <c r="C118" s="7">
        <v>45771</v>
      </c>
      <c r="D118" s="6">
        <f t="shared" si="17"/>
        <v>24</v>
      </c>
      <c r="E118" s="6">
        <f t="shared" si="18"/>
        <v>4</v>
      </c>
      <c r="F118" s="6" t="str">
        <f t="shared" si="19"/>
        <v>Apr</v>
      </c>
      <c r="G118" s="7" t="str">
        <f t="shared" si="20"/>
        <v>T2</v>
      </c>
      <c r="H118" s="6">
        <f t="shared" si="21"/>
        <v>2025</v>
      </c>
    </row>
    <row r="119" spans="3:8" x14ac:dyDescent="0.35">
      <c r="C119" s="7">
        <v>45772</v>
      </c>
      <c r="D119" s="6">
        <f t="shared" si="17"/>
        <v>25</v>
      </c>
      <c r="E119" s="6">
        <f t="shared" si="18"/>
        <v>4</v>
      </c>
      <c r="F119" s="6" t="str">
        <f t="shared" si="19"/>
        <v>Apr</v>
      </c>
      <c r="G119" s="7" t="str">
        <f t="shared" si="20"/>
        <v>T2</v>
      </c>
      <c r="H119" s="6">
        <f t="shared" si="21"/>
        <v>2025</v>
      </c>
    </row>
    <row r="120" spans="3:8" x14ac:dyDescent="0.35">
      <c r="C120" s="7">
        <v>45773</v>
      </c>
      <c r="D120" s="6">
        <f t="shared" si="17"/>
        <v>26</v>
      </c>
      <c r="E120" s="6">
        <f t="shared" si="18"/>
        <v>4</v>
      </c>
      <c r="F120" s="6" t="str">
        <f t="shared" si="19"/>
        <v>Apr</v>
      </c>
      <c r="G120" s="7" t="str">
        <f t="shared" si="20"/>
        <v>T2</v>
      </c>
      <c r="H120" s="6">
        <f t="shared" si="21"/>
        <v>2025</v>
      </c>
    </row>
    <row r="121" spans="3:8" x14ac:dyDescent="0.35">
      <c r="C121" s="7">
        <v>45774</v>
      </c>
      <c r="D121" s="6">
        <f t="shared" si="17"/>
        <v>27</v>
      </c>
      <c r="E121" s="6">
        <f t="shared" si="18"/>
        <v>4</v>
      </c>
      <c r="F121" s="6" t="str">
        <f t="shared" si="19"/>
        <v>Apr</v>
      </c>
      <c r="G121" s="7" t="str">
        <f t="shared" si="20"/>
        <v>T2</v>
      </c>
      <c r="H121" s="6">
        <f t="shared" si="21"/>
        <v>2025</v>
      </c>
    </row>
    <row r="122" spans="3:8" x14ac:dyDescent="0.35">
      <c r="C122" s="7">
        <v>45775</v>
      </c>
      <c r="D122" s="6">
        <f t="shared" si="17"/>
        <v>28</v>
      </c>
      <c r="E122" s="6">
        <f t="shared" si="18"/>
        <v>4</v>
      </c>
      <c r="F122" s="6" t="str">
        <f t="shared" si="19"/>
        <v>Apr</v>
      </c>
      <c r="G122" s="7" t="str">
        <f t="shared" si="20"/>
        <v>T2</v>
      </c>
      <c r="H122" s="6">
        <f t="shared" si="21"/>
        <v>2025</v>
      </c>
    </row>
    <row r="123" spans="3:8" x14ac:dyDescent="0.35">
      <c r="C123" s="7">
        <v>45776</v>
      </c>
      <c r="D123" s="6">
        <f t="shared" si="17"/>
        <v>29</v>
      </c>
      <c r="E123" s="6">
        <f t="shared" si="18"/>
        <v>4</v>
      </c>
      <c r="F123" s="6" t="str">
        <f t="shared" si="19"/>
        <v>Apr</v>
      </c>
      <c r="G123" s="7" t="str">
        <f t="shared" si="20"/>
        <v>T2</v>
      </c>
      <c r="H123" s="6">
        <f t="shared" si="21"/>
        <v>2025</v>
      </c>
    </row>
    <row r="124" spans="3:8" x14ac:dyDescent="0.35">
      <c r="C124" s="7">
        <v>45777</v>
      </c>
      <c r="D124" s="6">
        <f t="shared" si="17"/>
        <v>30</v>
      </c>
      <c r="E124" s="6">
        <f t="shared" si="18"/>
        <v>4</v>
      </c>
      <c r="F124" s="6" t="str">
        <f t="shared" si="19"/>
        <v>Apr</v>
      </c>
      <c r="G124" s="7" t="str">
        <f t="shared" si="20"/>
        <v>T2</v>
      </c>
      <c r="H124" s="6">
        <f t="shared" si="21"/>
        <v>2025</v>
      </c>
    </row>
    <row r="125" spans="3:8" x14ac:dyDescent="0.35">
      <c r="C125" s="7">
        <v>45778</v>
      </c>
      <c r="D125" s="6">
        <f t="shared" si="17"/>
        <v>1</v>
      </c>
      <c r="E125" s="6">
        <f t="shared" si="18"/>
        <v>5</v>
      </c>
      <c r="F125" s="6" t="str">
        <f t="shared" si="19"/>
        <v>May</v>
      </c>
      <c r="G125" s="7" t="str">
        <f t="shared" si="20"/>
        <v>T2</v>
      </c>
      <c r="H125" s="6">
        <f t="shared" si="21"/>
        <v>2025</v>
      </c>
    </row>
    <row r="126" spans="3:8" x14ac:dyDescent="0.35">
      <c r="C126" s="7">
        <v>45779</v>
      </c>
      <c r="D126" s="6">
        <f t="shared" si="17"/>
        <v>2</v>
      </c>
      <c r="E126" s="6">
        <f t="shared" si="18"/>
        <v>5</v>
      </c>
      <c r="F126" s="6" t="str">
        <f t="shared" si="19"/>
        <v>May</v>
      </c>
      <c r="G126" s="7" t="str">
        <f t="shared" si="20"/>
        <v>T2</v>
      </c>
      <c r="H126" s="6">
        <f t="shared" si="21"/>
        <v>2025</v>
      </c>
    </row>
    <row r="127" spans="3:8" x14ac:dyDescent="0.35">
      <c r="C127" s="7">
        <v>45780</v>
      </c>
      <c r="D127" s="6">
        <f t="shared" si="17"/>
        <v>3</v>
      </c>
      <c r="E127" s="6">
        <f t="shared" si="18"/>
        <v>5</v>
      </c>
      <c r="F127" s="6" t="str">
        <f t="shared" si="19"/>
        <v>May</v>
      </c>
      <c r="G127" s="7" t="str">
        <f t="shared" si="20"/>
        <v>T2</v>
      </c>
      <c r="H127" s="6">
        <f t="shared" si="21"/>
        <v>2025</v>
      </c>
    </row>
    <row r="128" spans="3:8" x14ac:dyDescent="0.35">
      <c r="C128" s="7">
        <v>45781</v>
      </c>
      <c r="D128" s="6">
        <f t="shared" si="17"/>
        <v>4</v>
      </c>
      <c r="E128" s="6">
        <f t="shared" si="18"/>
        <v>5</v>
      </c>
      <c r="F128" s="6" t="str">
        <f t="shared" si="19"/>
        <v>May</v>
      </c>
      <c r="G128" s="7" t="str">
        <f t="shared" si="20"/>
        <v>T2</v>
      </c>
      <c r="H128" s="6">
        <f t="shared" si="21"/>
        <v>2025</v>
      </c>
    </row>
    <row r="129" spans="3:8" x14ac:dyDescent="0.35">
      <c r="C129" s="7">
        <v>45782</v>
      </c>
      <c r="D129" s="6">
        <f t="shared" si="17"/>
        <v>5</v>
      </c>
      <c r="E129" s="6">
        <f t="shared" si="18"/>
        <v>5</v>
      </c>
      <c r="F129" s="6" t="str">
        <f t="shared" si="19"/>
        <v>May</v>
      </c>
      <c r="G129" s="7" t="str">
        <f t="shared" si="20"/>
        <v>T2</v>
      </c>
      <c r="H129" s="6">
        <f t="shared" si="21"/>
        <v>2025</v>
      </c>
    </row>
    <row r="130" spans="3:8" x14ac:dyDescent="0.35">
      <c r="C130" s="7">
        <v>45783</v>
      </c>
      <c r="D130" s="6">
        <f t="shared" si="17"/>
        <v>6</v>
      </c>
      <c r="E130" s="6">
        <f t="shared" si="18"/>
        <v>5</v>
      </c>
      <c r="F130" s="6" t="str">
        <f t="shared" si="19"/>
        <v>May</v>
      </c>
      <c r="G130" s="7" t="str">
        <f t="shared" si="20"/>
        <v>T2</v>
      </c>
      <c r="H130" s="6">
        <f t="shared" si="21"/>
        <v>2025</v>
      </c>
    </row>
    <row r="131" spans="3:8" x14ac:dyDescent="0.35">
      <c r="C131" s="7">
        <v>45784</v>
      </c>
      <c r="D131" s="6">
        <f t="shared" si="17"/>
        <v>7</v>
      </c>
      <c r="E131" s="6">
        <f t="shared" si="18"/>
        <v>5</v>
      </c>
      <c r="F131" s="6" t="str">
        <f t="shared" si="19"/>
        <v>May</v>
      </c>
      <c r="G131" s="7" t="str">
        <f t="shared" si="20"/>
        <v>T2</v>
      </c>
      <c r="H131" s="6">
        <f t="shared" si="21"/>
        <v>2025</v>
      </c>
    </row>
    <row r="132" spans="3:8" x14ac:dyDescent="0.35">
      <c r="C132" s="7">
        <v>45785</v>
      </c>
      <c r="D132" s="6">
        <f t="shared" si="17"/>
        <v>8</v>
      </c>
      <c r="E132" s="6">
        <f t="shared" si="18"/>
        <v>5</v>
      </c>
      <c r="F132" s="6" t="str">
        <f t="shared" si="19"/>
        <v>May</v>
      </c>
      <c r="G132" s="7" t="str">
        <f t="shared" si="20"/>
        <v>T2</v>
      </c>
      <c r="H132" s="6">
        <f t="shared" si="21"/>
        <v>2025</v>
      </c>
    </row>
    <row r="133" spans="3:8" x14ac:dyDescent="0.35">
      <c r="C133" s="7">
        <v>45786</v>
      </c>
      <c r="D133" s="6">
        <f t="shared" si="17"/>
        <v>9</v>
      </c>
      <c r="E133" s="6">
        <f t="shared" si="18"/>
        <v>5</v>
      </c>
      <c r="F133" s="6" t="str">
        <f t="shared" si="19"/>
        <v>May</v>
      </c>
      <c r="G133" s="7" t="str">
        <f t="shared" si="20"/>
        <v>T2</v>
      </c>
      <c r="H133" s="6">
        <f t="shared" si="21"/>
        <v>2025</v>
      </c>
    </row>
    <row r="134" spans="3:8" x14ac:dyDescent="0.35">
      <c r="C134" s="7">
        <v>45787</v>
      </c>
      <c r="D134" s="6">
        <f t="shared" ref="D134:D163" si="22">DAY(C134)</f>
        <v>10</v>
      </c>
      <c r="E134" s="6">
        <f t="shared" si="18"/>
        <v>5</v>
      </c>
      <c r="F134" s="6" t="str">
        <f t="shared" si="19"/>
        <v>May</v>
      </c>
      <c r="G134" s="7" t="str">
        <f t="shared" si="20"/>
        <v>T2</v>
      </c>
      <c r="H134" s="6">
        <f t="shared" si="21"/>
        <v>2025</v>
      </c>
    </row>
    <row r="135" spans="3:8" x14ac:dyDescent="0.35">
      <c r="C135" s="7">
        <v>45788</v>
      </c>
      <c r="D135" s="6">
        <f t="shared" si="22"/>
        <v>11</v>
      </c>
      <c r="E135" s="6">
        <f t="shared" si="18"/>
        <v>5</v>
      </c>
      <c r="F135" s="6" t="str">
        <f t="shared" si="19"/>
        <v>May</v>
      </c>
      <c r="G135" s="7" t="str">
        <f t="shared" si="20"/>
        <v>T2</v>
      </c>
      <c r="H135" s="6">
        <f t="shared" si="21"/>
        <v>2025</v>
      </c>
    </row>
    <row r="136" spans="3:8" x14ac:dyDescent="0.35">
      <c r="C136" s="7">
        <v>45789</v>
      </c>
      <c r="D136" s="6">
        <f t="shared" si="22"/>
        <v>12</v>
      </c>
      <c r="E136" s="6">
        <f t="shared" si="18"/>
        <v>5</v>
      </c>
      <c r="F136" s="6" t="str">
        <f t="shared" si="19"/>
        <v>May</v>
      </c>
      <c r="G136" s="7" t="str">
        <f t="shared" si="20"/>
        <v>T2</v>
      </c>
      <c r="H136" s="6">
        <f t="shared" si="21"/>
        <v>2025</v>
      </c>
    </row>
    <row r="137" spans="3:8" x14ac:dyDescent="0.35">
      <c r="C137" s="7">
        <v>45790</v>
      </c>
      <c r="D137" s="6">
        <f t="shared" si="22"/>
        <v>13</v>
      </c>
      <c r="E137" s="6">
        <f t="shared" si="18"/>
        <v>5</v>
      </c>
      <c r="F137" s="6" t="str">
        <f t="shared" si="19"/>
        <v>May</v>
      </c>
      <c r="G137" s="7" t="str">
        <f t="shared" si="20"/>
        <v>T2</v>
      </c>
      <c r="H137" s="6">
        <f t="shared" si="21"/>
        <v>2025</v>
      </c>
    </row>
    <row r="138" spans="3:8" x14ac:dyDescent="0.35">
      <c r="C138" s="7">
        <v>45791</v>
      </c>
      <c r="D138" s="6">
        <f t="shared" si="22"/>
        <v>14</v>
      </c>
      <c r="E138" s="6">
        <f t="shared" si="18"/>
        <v>5</v>
      </c>
      <c r="F138" s="6" t="str">
        <f t="shared" si="19"/>
        <v>May</v>
      </c>
      <c r="G138" s="7" t="str">
        <f t="shared" si="20"/>
        <v>T2</v>
      </c>
      <c r="H138" s="6">
        <f t="shared" si="21"/>
        <v>2025</v>
      </c>
    </row>
    <row r="139" spans="3:8" x14ac:dyDescent="0.35">
      <c r="C139" s="7">
        <v>45792</v>
      </c>
      <c r="D139" s="6">
        <f t="shared" si="22"/>
        <v>15</v>
      </c>
      <c r="E139" s="6">
        <f t="shared" si="18"/>
        <v>5</v>
      </c>
      <c r="F139" s="6" t="str">
        <f t="shared" si="19"/>
        <v>May</v>
      </c>
      <c r="G139" s="7" t="str">
        <f t="shared" si="20"/>
        <v>T2</v>
      </c>
      <c r="H139" s="6">
        <f t="shared" si="21"/>
        <v>2025</v>
      </c>
    </row>
    <row r="140" spans="3:8" x14ac:dyDescent="0.35">
      <c r="C140" s="7">
        <v>45793</v>
      </c>
      <c r="D140" s="6">
        <f t="shared" si="22"/>
        <v>16</v>
      </c>
      <c r="E140" s="6">
        <f t="shared" si="18"/>
        <v>5</v>
      </c>
      <c r="F140" s="6" t="str">
        <f t="shared" si="19"/>
        <v>May</v>
      </c>
      <c r="G140" s="7" t="str">
        <f t="shared" si="20"/>
        <v>T2</v>
      </c>
      <c r="H140" s="6">
        <f t="shared" si="21"/>
        <v>2025</v>
      </c>
    </row>
    <row r="141" spans="3:8" x14ac:dyDescent="0.35">
      <c r="C141" s="7">
        <v>45794</v>
      </c>
      <c r="D141" s="6">
        <f t="shared" si="22"/>
        <v>17</v>
      </c>
      <c r="E141" s="6">
        <f t="shared" si="18"/>
        <v>5</v>
      </c>
      <c r="F141" s="6" t="str">
        <f t="shared" si="19"/>
        <v>May</v>
      </c>
      <c r="G141" s="7" t="str">
        <f t="shared" si="20"/>
        <v>T2</v>
      </c>
      <c r="H141" s="6">
        <f t="shared" si="21"/>
        <v>2025</v>
      </c>
    </row>
    <row r="142" spans="3:8" x14ac:dyDescent="0.35">
      <c r="C142" s="7">
        <v>45795</v>
      </c>
      <c r="D142" s="6">
        <f t="shared" si="22"/>
        <v>18</v>
      </c>
      <c r="E142" s="6">
        <f t="shared" si="18"/>
        <v>5</v>
      </c>
      <c r="F142" s="6" t="str">
        <f t="shared" si="19"/>
        <v>May</v>
      </c>
      <c r="G142" s="7" t="str">
        <f t="shared" si="20"/>
        <v>T2</v>
      </c>
      <c r="H142" s="6">
        <f t="shared" si="21"/>
        <v>2025</v>
      </c>
    </row>
    <row r="143" spans="3:8" x14ac:dyDescent="0.35">
      <c r="C143" s="7">
        <v>45796</v>
      </c>
      <c r="D143" s="6">
        <f t="shared" si="22"/>
        <v>19</v>
      </c>
      <c r="E143" s="6">
        <f t="shared" si="18"/>
        <v>5</v>
      </c>
      <c r="F143" s="6" t="str">
        <f t="shared" si="19"/>
        <v>May</v>
      </c>
      <c r="G143" s="7" t="str">
        <f t="shared" si="20"/>
        <v>T2</v>
      </c>
      <c r="H143" s="6">
        <f t="shared" si="21"/>
        <v>2025</v>
      </c>
    </row>
    <row r="144" spans="3:8" x14ac:dyDescent="0.35">
      <c r="C144" s="7">
        <v>45797</v>
      </c>
      <c r="D144" s="6">
        <f t="shared" si="22"/>
        <v>20</v>
      </c>
      <c r="E144" s="6">
        <f t="shared" si="18"/>
        <v>5</v>
      </c>
      <c r="F144" s="6" t="str">
        <f t="shared" si="19"/>
        <v>May</v>
      </c>
      <c r="G144" s="7" t="str">
        <f t="shared" si="20"/>
        <v>T2</v>
      </c>
      <c r="H144" s="6">
        <f t="shared" si="21"/>
        <v>2025</v>
      </c>
    </row>
    <row r="145" spans="3:8" x14ac:dyDescent="0.35">
      <c r="C145" s="7">
        <v>45798</v>
      </c>
      <c r="D145" s="6">
        <f t="shared" si="22"/>
        <v>21</v>
      </c>
      <c r="E145" s="6">
        <f t="shared" si="18"/>
        <v>5</v>
      </c>
      <c r="F145" s="6" t="str">
        <f t="shared" si="19"/>
        <v>May</v>
      </c>
      <c r="G145" s="7" t="str">
        <f t="shared" si="20"/>
        <v>T2</v>
      </c>
      <c r="H145" s="6">
        <f t="shared" si="21"/>
        <v>2025</v>
      </c>
    </row>
    <row r="146" spans="3:8" x14ac:dyDescent="0.35">
      <c r="C146" s="7">
        <v>45799</v>
      </c>
      <c r="D146" s="6">
        <f t="shared" si="22"/>
        <v>22</v>
      </c>
      <c r="E146" s="6">
        <f t="shared" si="18"/>
        <v>5</v>
      </c>
      <c r="F146" s="6" t="str">
        <f t="shared" si="19"/>
        <v>May</v>
      </c>
      <c r="G146" s="7" t="str">
        <f t="shared" si="20"/>
        <v>T2</v>
      </c>
      <c r="H146" s="6">
        <f t="shared" si="21"/>
        <v>2025</v>
      </c>
    </row>
    <row r="147" spans="3:8" x14ac:dyDescent="0.35">
      <c r="C147" s="7">
        <v>45800</v>
      </c>
      <c r="D147" s="6">
        <f t="shared" si="22"/>
        <v>23</v>
      </c>
      <c r="E147" s="6">
        <f t="shared" si="18"/>
        <v>5</v>
      </c>
      <c r="F147" s="6" t="str">
        <f t="shared" si="19"/>
        <v>May</v>
      </c>
      <c r="G147" s="7" t="str">
        <f t="shared" si="20"/>
        <v>T2</v>
      </c>
      <c r="H147" s="6">
        <f t="shared" si="21"/>
        <v>2025</v>
      </c>
    </row>
    <row r="148" spans="3:8" x14ac:dyDescent="0.35">
      <c r="C148" s="7">
        <v>45801</v>
      </c>
      <c r="D148" s="6">
        <f t="shared" si="22"/>
        <v>24</v>
      </c>
      <c r="E148" s="6">
        <f t="shared" si="18"/>
        <v>5</v>
      </c>
      <c r="F148" s="6" t="str">
        <f t="shared" si="19"/>
        <v>May</v>
      </c>
      <c r="G148" s="7" t="str">
        <f t="shared" si="20"/>
        <v>T2</v>
      </c>
      <c r="H148" s="6">
        <f t="shared" si="21"/>
        <v>2025</v>
      </c>
    </row>
    <row r="149" spans="3:8" x14ac:dyDescent="0.35">
      <c r="C149" s="7">
        <v>45802</v>
      </c>
      <c r="D149" s="6">
        <f t="shared" si="22"/>
        <v>25</v>
      </c>
      <c r="E149" s="6">
        <f t="shared" si="18"/>
        <v>5</v>
      </c>
      <c r="F149" s="6" t="str">
        <f t="shared" si="19"/>
        <v>May</v>
      </c>
      <c r="G149" s="7" t="str">
        <f t="shared" si="20"/>
        <v>T2</v>
      </c>
      <c r="H149" s="6">
        <f t="shared" si="21"/>
        <v>2025</v>
      </c>
    </row>
    <row r="150" spans="3:8" x14ac:dyDescent="0.35">
      <c r="C150" s="7">
        <v>45803</v>
      </c>
      <c r="D150" s="6">
        <f t="shared" si="22"/>
        <v>26</v>
      </c>
      <c r="E150" s="6">
        <f t="shared" si="18"/>
        <v>5</v>
      </c>
      <c r="F150" s="6" t="str">
        <f t="shared" si="19"/>
        <v>May</v>
      </c>
      <c r="G150" s="7" t="str">
        <f t="shared" si="20"/>
        <v>T2</v>
      </c>
      <c r="H150" s="6">
        <f t="shared" si="21"/>
        <v>2025</v>
      </c>
    </row>
    <row r="151" spans="3:8" x14ac:dyDescent="0.35">
      <c r="C151" s="7">
        <v>45804</v>
      </c>
      <c r="D151" s="6">
        <f t="shared" si="22"/>
        <v>27</v>
      </c>
      <c r="E151" s="6">
        <f t="shared" si="18"/>
        <v>5</v>
      </c>
      <c r="F151" s="6" t="str">
        <f t="shared" si="19"/>
        <v>May</v>
      </c>
      <c r="G151" s="7" t="str">
        <f t="shared" si="20"/>
        <v>T2</v>
      </c>
      <c r="H151" s="6">
        <f t="shared" si="21"/>
        <v>2025</v>
      </c>
    </row>
    <row r="152" spans="3:8" x14ac:dyDescent="0.35">
      <c r="C152" s="7">
        <v>45805</v>
      </c>
      <c r="D152" s="6">
        <f t="shared" si="22"/>
        <v>28</v>
      </c>
      <c r="E152" s="6">
        <f t="shared" si="18"/>
        <v>5</v>
      </c>
      <c r="F152" s="6" t="str">
        <f t="shared" si="19"/>
        <v>May</v>
      </c>
      <c r="G152" s="7" t="str">
        <f t="shared" si="20"/>
        <v>T2</v>
      </c>
      <c r="H152" s="6">
        <f t="shared" si="21"/>
        <v>2025</v>
      </c>
    </row>
    <row r="153" spans="3:8" x14ac:dyDescent="0.35">
      <c r="C153" s="7">
        <v>45806</v>
      </c>
      <c r="D153" s="6">
        <f t="shared" si="22"/>
        <v>29</v>
      </c>
      <c r="E153" s="6">
        <f t="shared" si="18"/>
        <v>5</v>
      </c>
      <c r="F153" s="6" t="str">
        <f t="shared" si="19"/>
        <v>May</v>
      </c>
      <c r="G153" s="7" t="str">
        <f t="shared" si="20"/>
        <v>T2</v>
      </c>
      <c r="H153" s="6">
        <f t="shared" si="21"/>
        <v>2025</v>
      </c>
    </row>
    <row r="154" spans="3:8" x14ac:dyDescent="0.35">
      <c r="C154" s="7">
        <v>45807</v>
      </c>
      <c r="D154" s="6">
        <f t="shared" si="22"/>
        <v>30</v>
      </c>
      <c r="E154" s="6">
        <f t="shared" si="18"/>
        <v>5</v>
      </c>
      <c r="F154" s="6" t="str">
        <f t="shared" si="19"/>
        <v>May</v>
      </c>
      <c r="G154" s="7" t="str">
        <f t="shared" si="20"/>
        <v>T2</v>
      </c>
      <c r="H154" s="6">
        <f t="shared" si="21"/>
        <v>2025</v>
      </c>
    </row>
    <row r="155" spans="3:8" x14ac:dyDescent="0.35">
      <c r="C155" s="7">
        <v>45808</v>
      </c>
      <c r="D155" s="6">
        <f t="shared" si="22"/>
        <v>31</v>
      </c>
      <c r="E155" s="6">
        <f t="shared" si="18"/>
        <v>5</v>
      </c>
      <c r="F155" s="6" t="str">
        <f t="shared" si="19"/>
        <v>May</v>
      </c>
      <c r="G155" s="7" t="str">
        <f t="shared" si="20"/>
        <v>T2</v>
      </c>
      <c r="H155" s="6">
        <f t="shared" si="21"/>
        <v>2025</v>
      </c>
    </row>
    <row r="156" spans="3:8" x14ac:dyDescent="0.35">
      <c r="C156" s="7">
        <v>45809</v>
      </c>
      <c r="D156" s="6">
        <f t="shared" si="22"/>
        <v>1</v>
      </c>
      <c r="E156" s="6">
        <f t="shared" si="18"/>
        <v>6</v>
      </c>
      <c r="F156" s="6" t="str">
        <f t="shared" si="19"/>
        <v>Jun</v>
      </c>
      <c r="G156" s="7" t="str">
        <f t="shared" si="20"/>
        <v>T2</v>
      </c>
      <c r="H156" s="6">
        <f t="shared" si="21"/>
        <v>2025</v>
      </c>
    </row>
    <row r="157" spans="3:8" x14ac:dyDescent="0.35">
      <c r="C157" s="7">
        <v>45810</v>
      </c>
      <c r="D157" s="6">
        <f t="shared" si="22"/>
        <v>2</v>
      </c>
      <c r="E157" s="6">
        <f t="shared" si="18"/>
        <v>6</v>
      </c>
      <c r="F157" s="6" t="str">
        <f t="shared" si="19"/>
        <v>Jun</v>
      </c>
      <c r="G157" s="7" t="str">
        <f t="shared" si="20"/>
        <v>T2</v>
      </c>
      <c r="H157" s="6">
        <f t="shared" si="21"/>
        <v>2025</v>
      </c>
    </row>
    <row r="158" spans="3:8" x14ac:dyDescent="0.35">
      <c r="C158" s="7">
        <v>45811</v>
      </c>
      <c r="D158" s="6">
        <f t="shared" si="22"/>
        <v>3</v>
      </c>
      <c r="E158" s="6">
        <f t="shared" si="18"/>
        <v>6</v>
      </c>
      <c r="F158" s="6" t="str">
        <f t="shared" si="19"/>
        <v>Jun</v>
      </c>
      <c r="G158" s="7" t="str">
        <f t="shared" si="20"/>
        <v>T2</v>
      </c>
      <c r="H158" s="6">
        <f t="shared" si="21"/>
        <v>2025</v>
      </c>
    </row>
    <row r="159" spans="3:8" x14ac:dyDescent="0.35">
      <c r="C159" s="7">
        <v>45812</v>
      </c>
      <c r="D159" s="6">
        <f t="shared" si="22"/>
        <v>4</v>
      </c>
      <c r="E159" s="6">
        <f t="shared" si="18"/>
        <v>6</v>
      </c>
      <c r="F159" s="6" t="str">
        <f t="shared" si="19"/>
        <v>Jun</v>
      </c>
      <c r="G159" s="7" t="str">
        <f t="shared" si="20"/>
        <v>T2</v>
      </c>
      <c r="H159" s="6">
        <f t="shared" si="21"/>
        <v>2025</v>
      </c>
    </row>
    <row r="160" spans="3:8" x14ac:dyDescent="0.35">
      <c r="C160" s="7">
        <v>45813</v>
      </c>
      <c r="D160" s="6">
        <f t="shared" si="22"/>
        <v>5</v>
      </c>
      <c r="E160" s="6">
        <f t="shared" si="18"/>
        <v>6</v>
      </c>
      <c r="F160" s="6" t="str">
        <f t="shared" si="19"/>
        <v>Jun</v>
      </c>
      <c r="G160" s="7" t="str">
        <f t="shared" si="20"/>
        <v>T2</v>
      </c>
      <c r="H160" s="6">
        <f t="shared" si="21"/>
        <v>2025</v>
      </c>
    </row>
    <row r="161" spans="3:8" x14ac:dyDescent="0.35">
      <c r="C161" s="7">
        <v>45814</v>
      </c>
      <c r="D161" s="6">
        <f t="shared" si="22"/>
        <v>6</v>
      </c>
      <c r="E161" s="6">
        <f t="shared" si="18"/>
        <v>6</v>
      </c>
      <c r="F161" s="6" t="str">
        <f t="shared" si="19"/>
        <v>Jun</v>
      </c>
      <c r="G161" s="7" t="str">
        <f t="shared" si="20"/>
        <v>T2</v>
      </c>
      <c r="H161" s="6">
        <f t="shared" si="21"/>
        <v>2025</v>
      </c>
    </row>
    <row r="162" spans="3:8" x14ac:dyDescent="0.35">
      <c r="C162" s="7">
        <v>45815</v>
      </c>
      <c r="D162" s="6">
        <f t="shared" si="22"/>
        <v>7</v>
      </c>
      <c r="E162" s="6">
        <f t="shared" si="18"/>
        <v>6</v>
      </c>
      <c r="F162" s="6" t="str">
        <f t="shared" si="19"/>
        <v>Jun</v>
      </c>
      <c r="G162" s="7" t="str">
        <f t="shared" si="20"/>
        <v>T2</v>
      </c>
      <c r="H162" s="6">
        <f t="shared" si="21"/>
        <v>2025</v>
      </c>
    </row>
    <row r="163" spans="3:8" x14ac:dyDescent="0.35">
      <c r="C163" s="7">
        <v>45816</v>
      </c>
      <c r="D163" s="6">
        <f t="shared" si="22"/>
        <v>8</v>
      </c>
      <c r="E163" s="6">
        <f>MONTH(C163)</f>
        <v>6</v>
      </c>
      <c r="F163" s="6" t="str">
        <f t="shared" ref="F163:F169" si="23">TEXT(C163, "mmm")</f>
        <v>Jun</v>
      </c>
      <c r="G163" s="7" t="str">
        <f>"T"&amp;INT((MONTH(C163)-1)/3)+1</f>
        <v>T2</v>
      </c>
      <c r="H163" s="6">
        <f>YEAR(C163)</f>
        <v>2025</v>
      </c>
    </row>
    <row r="164" spans="3:8" x14ac:dyDescent="0.35">
      <c r="C164" s="7">
        <v>45817</v>
      </c>
      <c r="D164" s="6">
        <f>DAY(C164)</f>
        <v>9</v>
      </c>
      <c r="E164" s="6">
        <f>MONTH(C164)</f>
        <v>6</v>
      </c>
      <c r="F164" s="6" t="str">
        <f t="shared" si="23"/>
        <v>Jun</v>
      </c>
      <c r="G164" s="7" t="str">
        <f>"T"&amp;INT((MONTH(C164)-1)/3)+1</f>
        <v>T2</v>
      </c>
      <c r="H164" s="6">
        <f>YEAR(C164)</f>
        <v>2025</v>
      </c>
    </row>
    <row r="165" spans="3:8" x14ac:dyDescent="0.35">
      <c r="C165" s="7">
        <v>45818</v>
      </c>
      <c r="D165" s="6">
        <f t="shared" ref="D165:D211" si="24">DAY(C165)</f>
        <v>10</v>
      </c>
      <c r="E165" s="6">
        <f t="shared" ref="E165:E176" si="25">MONTH(C165)</f>
        <v>6</v>
      </c>
      <c r="F165" s="6" t="str">
        <f t="shared" si="23"/>
        <v>Jun</v>
      </c>
      <c r="G165" s="7" t="str">
        <f t="shared" ref="G165:G176" si="26">"T"&amp;INT((MONTH(C165)-1)/3)+1</f>
        <v>T2</v>
      </c>
      <c r="H165" s="6">
        <f t="shared" ref="H165:H176" si="27">YEAR(C165)</f>
        <v>2025</v>
      </c>
    </row>
    <row r="166" spans="3:8" x14ac:dyDescent="0.35">
      <c r="C166" s="7">
        <v>45819</v>
      </c>
      <c r="D166" s="6">
        <f t="shared" si="24"/>
        <v>11</v>
      </c>
      <c r="E166" s="6">
        <f t="shared" si="25"/>
        <v>6</v>
      </c>
      <c r="F166" s="6" t="str">
        <f t="shared" si="23"/>
        <v>Jun</v>
      </c>
      <c r="G166" s="7" t="str">
        <f t="shared" si="26"/>
        <v>T2</v>
      </c>
      <c r="H166" s="6">
        <f t="shared" si="27"/>
        <v>2025</v>
      </c>
    </row>
    <row r="167" spans="3:8" x14ac:dyDescent="0.35">
      <c r="C167" s="7">
        <v>45820</v>
      </c>
      <c r="D167" s="6">
        <f t="shared" si="24"/>
        <v>12</v>
      </c>
      <c r="E167" s="6">
        <f t="shared" si="25"/>
        <v>6</v>
      </c>
      <c r="F167" s="6" t="str">
        <f t="shared" si="23"/>
        <v>Jun</v>
      </c>
      <c r="G167" s="7" t="str">
        <f t="shared" si="26"/>
        <v>T2</v>
      </c>
      <c r="H167" s="6">
        <f t="shared" si="27"/>
        <v>2025</v>
      </c>
    </row>
    <row r="168" spans="3:8" x14ac:dyDescent="0.35">
      <c r="C168" s="7">
        <v>45821</v>
      </c>
      <c r="D168" s="6">
        <f t="shared" si="24"/>
        <v>13</v>
      </c>
      <c r="E168" s="6">
        <f t="shared" si="25"/>
        <v>6</v>
      </c>
      <c r="F168" s="6" t="str">
        <f t="shared" si="23"/>
        <v>Jun</v>
      </c>
      <c r="G168" s="7" t="str">
        <f t="shared" si="26"/>
        <v>T2</v>
      </c>
      <c r="H168" s="6">
        <f t="shared" si="27"/>
        <v>2025</v>
      </c>
    </row>
    <row r="169" spans="3:8" x14ac:dyDescent="0.35">
      <c r="C169" s="7">
        <v>45822</v>
      </c>
      <c r="D169" s="6">
        <f t="shared" si="24"/>
        <v>14</v>
      </c>
      <c r="E169" s="6">
        <f t="shared" si="25"/>
        <v>6</v>
      </c>
      <c r="F169" s="6" t="str">
        <f t="shared" si="23"/>
        <v>Jun</v>
      </c>
      <c r="G169" s="7" t="str">
        <f t="shared" si="26"/>
        <v>T2</v>
      </c>
      <c r="H169" s="6">
        <f t="shared" si="27"/>
        <v>2025</v>
      </c>
    </row>
    <row r="170" spans="3:8" x14ac:dyDescent="0.35">
      <c r="C170" s="7">
        <v>45823</v>
      </c>
      <c r="D170" s="6">
        <f t="shared" si="24"/>
        <v>15</v>
      </c>
      <c r="E170" s="6">
        <f t="shared" si="25"/>
        <v>6</v>
      </c>
      <c r="F170" s="6" t="str">
        <f t="shared" ref="F170:F176" si="28">TEXT(C170, "mmm")</f>
        <v>Jun</v>
      </c>
      <c r="G170" s="7" t="str">
        <f t="shared" si="26"/>
        <v>T2</v>
      </c>
      <c r="H170" s="6">
        <f t="shared" si="27"/>
        <v>2025</v>
      </c>
    </row>
    <row r="171" spans="3:8" x14ac:dyDescent="0.35">
      <c r="C171" s="7">
        <v>45824</v>
      </c>
      <c r="D171" s="6">
        <f t="shared" si="24"/>
        <v>16</v>
      </c>
      <c r="E171" s="6">
        <f t="shared" si="25"/>
        <v>6</v>
      </c>
      <c r="F171" s="6" t="str">
        <f t="shared" si="28"/>
        <v>Jun</v>
      </c>
      <c r="G171" s="7" t="str">
        <f t="shared" si="26"/>
        <v>T2</v>
      </c>
      <c r="H171" s="6">
        <f t="shared" si="27"/>
        <v>2025</v>
      </c>
    </row>
    <row r="172" spans="3:8" x14ac:dyDescent="0.35">
      <c r="C172" s="7">
        <v>45825</v>
      </c>
      <c r="D172" s="6">
        <f t="shared" si="24"/>
        <v>17</v>
      </c>
      <c r="E172" s="6">
        <f t="shared" si="25"/>
        <v>6</v>
      </c>
      <c r="F172" s="6" t="str">
        <f t="shared" si="28"/>
        <v>Jun</v>
      </c>
      <c r="G172" s="7" t="str">
        <f t="shared" si="26"/>
        <v>T2</v>
      </c>
      <c r="H172" s="6">
        <f t="shared" si="27"/>
        <v>2025</v>
      </c>
    </row>
    <row r="173" spans="3:8" x14ac:dyDescent="0.35">
      <c r="C173" s="7">
        <v>45826</v>
      </c>
      <c r="D173" s="6">
        <f t="shared" si="24"/>
        <v>18</v>
      </c>
      <c r="E173" s="6">
        <f t="shared" si="25"/>
        <v>6</v>
      </c>
      <c r="F173" s="6" t="str">
        <f t="shared" si="28"/>
        <v>Jun</v>
      </c>
      <c r="G173" s="7" t="str">
        <f t="shared" si="26"/>
        <v>T2</v>
      </c>
      <c r="H173" s="6">
        <f t="shared" si="27"/>
        <v>2025</v>
      </c>
    </row>
    <row r="174" spans="3:8" x14ac:dyDescent="0.35">
      <c r="C174" s="7">
        <v>45827</v>
      </c>
      <c r="D174" s="6">
        <f t="shared" si="24"/>
        <v>19</v>
      </c>
      <c r="E174" s="6">
        <f t="shared" si="25"/>
        <v>6</v>
      </c>
      <c r="F174" s="6" t="str">
        <f t="shared" si="28"/>
        <v>Jun</v>
      </c>
      <c r="G174" s="7" t="str">
        <f t="shared" si="26"/>
        <v>T2</v>
      </c>
      <c r="H174" s="6">
        <f t="shared" si="27"/>
        <v>2025</v>
      </c>
    </row>
    <row r="175" spans="3:8" x14ac:dyDescent="0.35">
      <c r="C175" s="7">
        <v>45828</v>
      </c>
      <c r="D175" s="6">
        <f t="shared" si="24"/>
        <v>20</v>
      </c>
      <c r="E175" s="6">
        <f t="shared" si="25"/>
        <v>6</v>
      </c>
      <c r="F175" s="6" t="str">
        <f t="shared" si="28"/>
        <v>Jun</v>
      </c>
      <c r="G175" s="7" t="str">
        <f t="shared" si="26"/>
        <v>T2</v>
      </c>
      <c r="H175" s="6">
        <f t="shared" si="27"/>
        <v>2025</v>
      </c>
    </row>
    <row r="176" spans="3:8" x14ac:dyDescent="0.35">
      <c r="C176" s="7">
        <v>45829</v>
      </c>
      <c r="D176" s="6">
        <f t="shared" si="24"/>
        <v>21</v>
      </c>
      <c r="E176" s="6">
        <f t="shared" si="25"/>
        <v>6</v>
      </c>
      <c r="F176" s="6" t="str">
        <f t="shared" si="28"/>
        <v>Jun</v>
      </c>
      <c r="G176" s="7" t="str">
        <f t="shared" si="26"/>
        <v>T2</v>
      </c>
      <c r="H176" s="6">
        <f t="shared" si="27"/>
        <v>2025</v>
      </c>
    </row>
    <row r="177" spans="3:8" x14ac:dyDescent="0.35">
      <c r="C177" s="7">
        <v>45830</v>
      </c>
      <c r="D177" s="6">
        <f>DAY(C177)</f>
        <v>22</v>
      </c>
      <c r="E177" s="6">
        <f>MONTH(C177)</f>
        <v>6</v>
      </c>
      <c r="F177" s="6" t="str">
        <f>TEXT(C177, "mmm")</f>
        <v>Jun</v>
      </c>
      <c r="G177" s="7" t="str">
        <f>"T"&amp;INT((MONTH(C177)-1)/3)+1</f>
        <v>T2</v>
      </c>
      <c r="H177" s="6">
        <f>YEAR(C177)</f>
        <v>2025</v>
      </c>
    </row>
    <row r="178" spans="3:8" x14ac:dyDescent="0.35">
      <c r="C178" s="7">
        <v>45831</v>
      </c>
      <c r="D178" s="6">
        <f t="shared" si="24"/>
        <v>23</v>
      </c>
      <c r="E178" s="6">
        <f t="shared" ref="E178:E211" si="29">MONTH(C178)</f>
        <v>6</v>
      </c>
      <c r="F178" s="6" t="str">
        <f t="shared" ref="F178:F211" si="30">TEXT(C178, "mmm")</f>
        <v>Jun</v>
      </c>
      <c r="G178" s="7" t="str">
        <f t="shared" ref="G178:G211" si="31">"T"&amp;INT((MONTH(C178)-1)/3)+1</f>
        <v>T2</v>
      </c>
      <c r="H178" s="6">
        <f t="shared" ref="H178:H211" si="32">YEAR(C178)</f>
        <v>2025</v>
      </c>
    </row>
    <row r="179" spans="3:8" x14ac:dyDescent="0.35">
      <c r="C179" s="7">
        <v>45832</v>
      </c>
      <c r="D179" s="6">
        <f t="shared" si="24"/>
        <v>24</v>
      </c>
      <c r="E179" s="6">
        <f t="shared" si="29"/>
        <v>6</v>
      </c>
      <c r="F179" s="6" t="str">
        <f t="shared" si="30"/>
        <v>Jun</v>
      </c>
      <c r="G179" s="7" t="str">
        <f t="shared" si="31"/>
        <v>T2</v>
      </c>
      <c r="H179" s="6">
        <f t="shared" si="32"/>
        <v>2025</v>
      </c>
    </row>
    <row r="180" spans="3:8" x14ac:dyDescent="0.35">
      <c r="C180" s="7">
        <v>45833</v>
      </c>
      <c r="D180" s="6">
        <f t="shared" si="24"/>
        <v>25</v>
      </c>
      <c r="E180" s="6">
        <f t="shared" si="29"/>
        <v>6</v>
      </c>
      <c r="F180" s="6" t="str">
        <f t="shared" si="30"/>
        <v>Jun</v>
      </c>
      <c r="G180" s="7" t="str">
        <f t="shared" si="31"/>
        <v>T2</v>
      </c>
      <c r="H180" s="6">
        <f t="shared" si="32"/>
        <v>2025</v>
      </c>
    </row>
    <row r="181" spans="3:8" x14ac:dyDescent="0.35">
      <c r="C181" s="7">
        <v>45834</v>
      </c>
      <c r="D181" s="6">
        <f t="shared" si="24"/>
        <v>26</v>
      </c>
      <c r="E181" s="6">
        <f t="shared" si="29"/>
        <v>6</v>
      </c>
      <c r="F181" s="6" t="str">
        <f t="shared" si="30"/>
        <v>Jun</v>
      </c>
      <c r="G181" s="7" t="str">
        <f t="shared" si="31"/>
        <v>T2</v>
      </c>
      <c r="H181" s="6">
        <f t="shared" si="32"/>
        <v>2025</v>
      </c>
    </row>
    <row r="182" spans="3:8" x14ac:dyDescent="0.35">
      <c r="C182" s="7">
        <v>45835</v>
      </c>
      <c r="D182" s="6">
        <f t="shared" si="24"/>
        <v>27</v>
      </c>
      <c r="E182" s="6">
        <f t="shared" si="29"/>
        <v>6</v>
      </c>
      <c r="F182" s="6" t="str">
        <f t="shared" si="30"/>
        <v>Jun</v>
      </c>
      <c r="G182" s="7" t="str">
        <f t="shared" si="31"/>
        <v>T2</v>
      </c>
      <c r="H182" s="6">
        <f t="shared" si="32"/>
        <v>2025</v>
      </c>
    </row>
    <row r="183" spans="3:8" x14ac:dyDescent="0.35">
      <c r="C183" s="7">
        <v>45836</v>
      </c>
      <c r="D183" s="6">
        <f t="shared" si="24"/>
        <v>28</v>
      </c>
      <c r="E183" s="6">
        <f t="shared" si="29"/>
        <v>6</v>
      </c>
      <c r="F183" s="6" t="str">
        <f t="shared" si="30"/>
        <v>Jun</v>
      </c>
      <c r="G183" s="7" t="str">
        <f t="shared" si="31"/>
        <v>T2</v>
      </c>
      <c r="H183" s="6">
        <f t="shared" si="32"/>
        <v>2025</v>
      </c>
    </row>
    <row r="184" spans="3:8" x14ac:dyDescent="0.35">
      <c r="C184" s="7">
        <v>45837</v>
      </c>
      <c r="D184" s="6">
        <f t="shared" si="24"/>
        <v>29</v>
      </c>
      <c r="E184" s="6">
        <f t="shared" si="29"/>
        <v>6</v>
      </c>
      <c r="F184" s="6" t="str">
        <f t="shared" si="30"/>
        <v>Jun</v>
      </c>
      <c r="G184" s="7" t="str">
        <f t="shared" si="31"/>
        <v>T2</v>
      </c>
      <c r="H184" s="6">
        <f t="shared" si="32"/>
        <v>2025</v>
      </c>
    </row>
    <row r="185" spans="3:8" x14ac:dyDescent="0.35">
      <c r="C185" s="7">
        <v>45838</v>
      </c>
      <c r="D185" s="6">
        <f t="shared" si="24"/>
        <v>30</v>
      </c>
      <c r="E185" s="6">
        <f t="shared" si="29"/>
        <v>6</v>
      </c>
      <c r="F185" s="6" t="str">
        <f t="shared" si="30"/>
        <v>Jun</v>
      </c>
      <c r="G185" s="7" t="str">
        <f t="shared" si="31"/>
        <v>T2</v>
      </c>
      <c r="H185" s="6">
        <f t="shared" si="32"/>
        <v>2025</v>
      </c>
    </row>
    <row r="186" spans="3:8" x14ac:dyDescent="0.35">
      <c r="C186" s="7">
        <v>45839</v>
      </c>
      <c r="D186" s="6">
        <f t="shared" si="24"/>
        <v>1</v>
      </c>
      <c r="E186" s="6">
        <f t="shared" si="29"/>
        <v>7</v>
      </c>
      <c r="F186" s="6" t="str">
        <f t="shared" si="30"/>
        <v>Jul</v>
      </c>
      <c r="G186" s="7" t="str">
        <f t="shared" si="31"/>
        <v>T3</v>
      </c>
      <c r="H186" s="6">
        <f t="shared" si="32"/>
        <v>2025</v>
      </c>
    </row>
    <row r="187" spans="3:8" x14ac:dyDescent="0.35">
      <c r="C187" s="7">
        <v>45840</v>
      </c>
      <c r="D187" s="6">
        <f t="shared" si="24"/>
        <v>2</v>
      </c>
      <c r="E187" s="6">
        <f t="shared" si="29"/>
        <v>7</v>
      </c>
      <c r="F187" s="6" t="str">
        <f t="shared" si="30"/>
        <v>Jul</v>
      </c>
      <c r="G187" s="7" t="str">
        <f t="shared" si="31"/>
        <v>T3</v>
      </c>
      <c r="H187" s="6">
        <f t="shared" si="32"/>
        <v>2025</v>
      </c>
    </row>
    <row r="188" spans="3:8" x14ac:dyDescent="0.35">
      <c r="C188" s="7">
        <v>45841</v>
      </c>
      <c r="D188" s="6">
        <f t="shared" si="24"/>
        <v>3</v>
      </c>
      <c r="E188" s="6">
        <f t="shared" si="29"/>
        <v>7</v>
      </c>
      <c r="F188" s="6" t="str">
        <f t="shared" si="30"/>
        <v>Jul</v>
      </c>
      <c r="G188" s="7" t="str">
        <f t="shared" si="31"/>
        <v>T3</v>
      </c>
      <c r="H188" s="6">
        <f t="shared" si="32"/>
        <v>2025</v>
      </c>
    </row>
    <row r="189" spans="3:8" x14ac:dyDescent="0.35">
      <c r="C189" s="7">
        <v>45842</v>
      </c>
      <c r="D189" s="6">
        <f t="shared" si="24"/>
        <v>4</v>
      </c>
      <c r="E189" s="6">
        <f t="shared" si="29"/>
        <v>7</v>
      </c>
      <c r="F189" s="6" t="str">
        <f t="shared" si="30"/>
        <v>Jul</v>
      </c>
      <c r="G189" s="7" t="str">
        <f t="shared" si="31"/>
        <v>T3</v>
      </c>
      <c r="H189" s="6">
        <f t="shared" si="32"/>
        <v>2025</v>
      </c>
    </row>
    <row r="190" spans="3:8" x14ac:dyDescent="0.35">
      <c r="C190" s="7">
        <v>45843</v>
      </c>
      <c r="D190" s="6">
        <f t="shared" si="24"/>
        <v>5</v>
      </c>
      <c r="E190" s="6">
        <f t="shared" si="29"/>
        <v>7</v>
      </c>
      <c r="F190" s="6" t="str">
        <f t="shared" si="30"/>
        <v>Jul</v>
      </c>
      <c r="G190" s="7" t="str">
        <f t="shared" si="31"/>
        <v>T3</v>
      </c>
      <c r="H190" s="6">
        <f t="shared" si="32"/>
        <v>2025</v>
      </c>
    </row>
    <row r="191" spans="3:8" x14ac:dyDescent="0.35">
      <c r="C191" s="7">
        <v>45844</v>
      </c>
      <c r="D191" s="6">
        <f t="shared" si="24"/>
        <v>6</v>
      </c>
      <c r="E191" s="6">
        <f t="shared" si="29"/>
        <v>7</v>
      </c>
      <c r="F191" s="6" t="str">
        <f t="shared" si="30"/>
        <v>Jul</v>
      </c>
      <c r="G191" s="7" t="str">
        <f t="shared" si="31"/>
        <v>T3</v>
      </c>
      <c r="H191" s="6">
        <f t="shared" si="32"/>
        <v>2025</v>
      </c>
    </row>
    <row r="192" spans="3:8" x14ac:dyDescent="0.35">
      <c r="C192" s="7">
        <v>45845</v>
      </c>
      <c r="D192" s="6">
        <f t="shared" si="24"/>
        <v>7</v>
      </c>
      <c r="E192" s="6">
        <f t="shared" si="29"/>
        <v>7</v>
      </c>
      <c r="F192" s="6" t="str">
        <f t="shared" si="30"/>
        <v>Jul</v>
      </c>
      <c r="G192" s="7" t="str">
        <f t="shared" si="31"/>
        <v>T3</v>
      </c>
      <c r="H192" s="6">
        <f t="shared" si="32"/>
        <v>2025</v>
      </c>
    </row>
    <row r="193" spans="3:8" x14ac:dyDescent="0.35">
      <c r="C193" s="7">
        <v>45846</v>
      </c>
      <c r="D193" s="6">
        <f t="shared" si="24"/>
        <v>8</v>
      </c>
      <c r="E193" s="6">
        <f t="shared" si="29"/>
        <v>7</v>
      </c>
      <c r="F193" s="6" t="str">
        <f t="shared" si="30"/>
        <v>Jul</v>
      </c>
      <c r="G193" s="7" t="str">
        <f t="shared" si="31"/>
        <v>T3</v>
      </c>
      <c r="H193" s="6">
        <f t="shared" si="32"/>
        <v>2025</v>
      </c>
    </row>
    <row r="194" spans="3:8" x14ac:dyDescent="0.35">
      <c r="C194" s="7">
        <v>45847</v>
      </c>
      <c r="D194" s="6">
        <f t="shared" si="24"/>
        <v>9</v>
      </c>
      <c r="E194" s="6">
        <f t="shared" si="29"/>
        <v>7</v>
      </c>
      <c r="F194" s="6" t="str">
        <f t="shared" si="30"/>
        <v>Jul</v>
      </c>
      <c r="G194" s="7" t="str">
        <f t="shared" si="31"/>
        <v>T3</v>
      </c>
      <c r="H194" s="6">
        <f t="shared" si="32"/>
        <v>2025</v>
      </c>
    </row>
    <row r="195" spans="3:8" x14ac:dyDescent="0.35">
      <c r="C195" s="7">
        <v>45848</v>
      </c>
      <c r="D195" s="6">
        <f t="shared" si="24"/>
        <v>10</v>
      </c>
      <c r="E195" s="6">
        <f t="shared" si="29"/>
        <v>7</v>
      </c>
      <c r="F195" s="6" t="str">
        <f t="shared" si="30"/>
        <v>Jul</v>
      </c>
      <c r="G195" s="7" t="str">
        <f t="shared" si="31"/>
        <v>T3</v>
      </c>
      <c r="H195" s="6">
        <f t="shared" si="32"/>
        <v>2025</v>
      </c>
    </row>
    <row r="196" spans="3:8" x14ac:dyDescent="0.35">
      <c r="C196" s="7">
        <v>45849</v>
      </c>
      <c r="D196" s="6">
        <f t="shared" si="24"/>
        <v>11</v>
      </c>
      <c r="E196" s="6">
        <f t="shared" si="29"/>
        <v>7</v>
      </c>
      <c r="F196" s="6" t="str">
        <f t="shared" si="30"/>
        <v>Jul</v>
      </c>
      <c r="G196" s="7" t="str">
        <f t="shared" si="31"/>
        <v>T3</v>
      </c>
      <c r="H196" s="6">
        <f t="shared" si="32"/>
        <v>2025</v>
      </c>
    </row>
    <row r="197" spans="3:8" x14ac:dyDescent="0.35">
      <c r="C197" s="7">
        <v>45850</v>
      </c>
      <c r="D197" s="6">
        <f t="shared" si="24"/>
        <v>12</v>
      </c>
      <c r="E197" s="6">
        <f t="shared" si="29"/>
        <v>7</v>
      </c>
      <c r="F197" s="6" t="str">
        <f t="shared" si="30"/>
        <v>Jul</v>
      </c>
      <c r="G197" s="7" t="str">
        <f t="shared" si="31"/>
        <v>T3</v>
      </c>
      <c r="H197" s="6">
        <f t="shared" si="32"/>
        <v>2025</v>
      </c>
    </row>
    <row r="198" spans="3:8" x14ac:dyDescent="0.35">
      <c r="C198" s="7">
        <v>45851</v>
      </c>
      <c r="D198" s="6">
        <f t="shared" si="24"/>
        <v>13</v>
      </c>
      <c r="E198" s="6">
        <f t="shared" si="29"/>
        <v>7</v>
      </c>
      <c r="F198" s="6" t="str">
        <f t="shared" si="30"/>
        <v>Jul</v>
      </c>
      <c r="G198" s="7" t="str">
        <f t="shared" si="31"/>
        <v>T3</v>
      </c>
      <c r="H198" s="6">
        <f t="shared" si="32"/>
        <v>2025</v>
      </c>
    </row>
    <row r="199" spans="3:8" x14ac:dyDescent="0.35">
      <c r="C199" s="7">
        <v>45852</v>
      </c>
      <c r="D199" s="6">
        <f t="shared" si="24"/>
        <v>14</v>
      </c>
      <c r="E199" s="6">
        <f t="shared" si="29"/>
        <v>7</v>
      </c>
      <c r="F199" s="6" t="str">
        <f t="shared" si="30"/>
        <v>Jul</v>
      </c>
      <c r="G199" s="7" t="str">
        <f t="shared" si="31"/>
        <v>T3</v>
      </c>
      <c r="H199" s="6">
        <f t="shared" si="32"/>
        <v>2025</v>
      </c>
    </row>
    <row r="200" spans="3:8" x14ac:dyDescent="0.35">
      <c r="C200" s="7">
        <v>45853</v>
      </c>
      <c r="D200" s="6">
        <f t="shared" si="24"/>
        <v>15</v>
      </c>
      <c r="E200" s="6">
        <f t="shared" si="29"/>
        <v>7</v>
      </c>
      <c r="F200" s="6" t="str">
        <f t="shared" si="30"/>
        <v>Jul</v>
      </c>
      <c r="G200" s="7" t="str">
        <f t="shared" si="31"/>
        <v>T3</v>
      </c>
      <c r="H200" s="6">
        <f t="shared" si="32"/>
        <v>2025</v>
      </c>
    </row>
    <row r="201" spans="3:8" x14ac:dyDescent="0.35">
      <c r="C201" s="7">
        <v>45854</v>
      </c>
      <c r="D201" s="6">
        <f t="shared" si="24"/>
        <v>16</v>
      </c>
      <c r="E201" s="6">
        <f t="shared" si="29"/>
        <v>7</v>
      </c>
      <c r="F201" s="6" t="str">
        <f t="shared" si="30"/>
        <v>Jul</v>
      </c>
      <c r="G201" s="7" t="str">
        <f t="shared" si="31"/>
        <v>T3</v>
      </c>
      <c r="H201" s="6">
        <f t="shared" si="32"/>
        <v>2025</v>
      </c>
    </row>
    <row r="202" spans="3:8" x14ac:dyDescent="0.35">
      <c r="C202" s="7">
        <v>45855</v>
      </c>
      <c r="D202" s="6">
        <f t="shared" si="24"/>
        <v>17</v>
      </c>
      <c r="E202" s="6">
        <f t="shared" si="29"/>
        <v>7</v>
      </c>
      <c r="F202" s="6" t="str">
        <f t="shared" si="30"/>
        <v>Jul</v>
      </c>
      <c r="G202" s="7" t="str">
        <f t="shared" si="31"/>
        <v>T3</v>
      </c>
      <c r="H202" s="6">
        <f t="shared" si="32"/>
        <v>2025</v>
      </c>
    </row>
    <row r="203" spans="3:8" x14ac:dyDescent="0.35">
      <c r="C203" s="7">
        <v>45856</v>
      </c>
      <c r="D203" s="6">
        <f t="shared" si="24"/>
        <v>18</v>
      </c>
      <c r="E203" s="6">
        <f t="shared" si="29"/>
        <v>7</v>
      </c>
      <c r="F203" s="6" t="str">
        <f t="shared" si="30"/>
        <v>Jul</v>
      </c>
      <c r="G203" s="7" t="str">
        <f t="shared" si="31"/>
        <v>T3</v>
      </c>
      <c r="H203" s="6">
        <f t="shared" si="32"/>
        <v>2025</v>
      </c>
    </row>
    <row r="204" spans="3:8" x14ac:dyDescent="0.35">
      <c r="C204" s="7">
        <v>45857</v>
      </c>
      <c r="D204" s="6">
        <f t="shared" si="24"/>
        <v>19</v>
      </c>
      <c r="E204" s="6">
        <f t="shared" si="29"/>
        <v>7</v>
      </c>
      <c r="F204" s="6" t="str">
        <f t="shared" si="30"/>
        <v>Jul</v>
      </c>
      <c r="G204" s="7" t="str">
        <f t="shared" si="31"/>
        <v>T3</v>
      </c>
      <c r="H204" s="6">
        <f t="shared" si="32"/>
        <v>2025</v>
      </c>
    </row>
    <row r="205" spans="3:8" x14ac:dyDescent="0.35">
      <c r="C205" s="7">
        <v>45858</v>
      </c>
      <c r="D205" s="6">
        <f t="shared" si="24"/>
        <v>20</v>
      </c>
      <c r="E205" s="6">
        <f t="shared" si="29"/>
        <v>7</v>
      </c>
      <c r="F205" s="6" t="str">
        <f t="shared" si="30"/>
        <v>Jul</v>
      </c>
      <c r="G205" s="7" t="str">
        <f t="shared" si="31"/>
        <v>T3</v>
      </c>
      <c r="H205" s="6">
        <f t="shared" si="32"/>
        <v>2025</v>
      </c>
    </row>
    <row r="206" spans="3:8" x14ac:dyDescent="0.35">
      <c r="C206" s="7">
        <v>45859</v>
      </c>
      <c r="D206" s="6">
        <f t="shared" si="24"/>
        <v>21</v>
      </c>
      <c r="E206" s="6">
        <f t="shared" si="29"/>
        <v>7</v>
      </c>
      <c r="F206" s="6" t="str">
        <f t="shared" si="30"/>
        <v>Jul</v>
      </c>
      <c r="G206" s="7" t="str">
        <f t="shared" si="31"/>
        <v>T3</v>
      </c>
      <c r="H206" s="6">
        <f t="shared" si="32"/>
        <v>2025</v>
      </c>
    </row>
    <row r="207" spans="3:8" x14ac:dyDescent="0.35">
      <c r="C207" s="7">
        <v>45860</v>
      </c>
      <c r="D207" s="6">
        <f t="shared" si="24"/>
        <v>22</v>
      </c>
      <c r="E207" s="6">
        <f t="shared" si="29"/>
        <v>7</v>
      </c>
      <c r="F207" s="6" t="str">
        <f t="shared" si="30"/>
        <v>Jul</v>
      </c>
      <c r="G207" s="7" t="str">
        <f t="shared" si="31"/>
        <v>T3</v>
      </c>
      <c r="H207" s="6">
        <f t="shared" si="32"/>
        <v>2025</v>
      </c>
    </row>
    <row r="208" spans="3:8" x14ac:dyDescent="0.35">
      <c r="C208" s="7">
        <v>45861</v>
      </c>
      <c r="D208" s="6">
        <f t="shared" si="24"/>
        <v>23</v>
      </c>
      <c r="E208" s="6">
        <f t="shared" si="29"/>
        <v>7</v>
      </c>
      <c r="F208" s="6" t="str">
        <f t="shared" si="30"/>
        <v>Jul</v>
      </c>
      <c r="G208" s="7" t="str">
        <f t="shared" si="31"/>
        <v>T3</v>
      </c>
      <c r="H208" s="6">
        <f t="shared" si="32"/>
        <v>2025</v>
      </c>
    </row>
    <row r="209" spans="3:8" x14ac:dyDescent="0.35">
      <c r="C209" s="7">
        <v>45862</v>
      </c>
      <c r="D209" s="6">
        <f t="shared" si="24"/>
        <v>24</v>
      </c>
      <c r="E209" s="6">
        <f t="shared" si="29"/>
        <v>7</v>
      </c>
      <c r="F209" s="6" t="str">
        <f t="shared" si="30"/>
        <v>Jul</v>
      </c>
      <c r="G209" s="7" t="str">
        <f t="shared" si="31"/>
        <v>T3</v>
      </c>
      <c r="H209" s="6">
        <f t="shared" si="32"/>
        <v>2025</v>
      </c>
    </row>
    <row r="210" spans="3:8" x14ac:dyDescent="0.35">
      <c r="C210" s="7">
        <v>45863</v>
      </c>
      <c r="D210" s="6">
        <f t="shared" si="24"/>
        <v>25</v>
      </c>
      <c r="E210" s="6">
        <f t="shared" si="29"/>
        <v>7</v>
      </c>
      <c r="F210" s="6" t="str">
        <f t="shared" si="30"/>
        <v>Jul</v>
      </c>
      <c r="G210" s="7" t="str">
        <f t="shared" si="31"/>
        <v>T3</v>
      </c>
      <c r="H210" s="6">
        <f t="shared" si="32"/>
        <v>2025</v>
      </c>
    </row>
    <row r="211" spans="3:8" x14ac:dyDescent="0.35">
      <c r="C211" s="7">
        <v>45864</v>
      </c>
      <c r="D211" s="6">
        <f t="shared" si="24"/>
        <v>26</v>
      </c>
      <c r="E211" s="6">
        <f t="shared" si="29"/>
        <v>7</v>
      </c>
      <c r="F211" s="6" t="str">
        <f t="shared" si="30"/>
        <v>Jul</v>
      </c>
      <c r="G211" s="7" t="str">
        <f t="shared" si="31"/>
        <v>T3</v>
      </c>
      <c r="H211" s="6">
        <f t="shared" si="32"/>
        <v>2025</v>
      </c>
    </row>
    <row r="212" spans="3:8" x14ac:dyDescent="0.35">
      <c r="C212" s="7">
        <v>45865</v>
      </c>
      <c r="D212" s="6">
        <f>DAY(C212)</f>
        <v>27</v>
      </c>
      <c r="E212" s="6">
        <f>MONTH(C212)</f>
        <v>7</v>
      </c>
      <c r="F212" s="6" t="str">
        <f t="shared" ref="F212:F226" si="33">TEXT(C212, "mmm")</f>
        <v>Jul</v>
      </c>
      <c r="G212" s="7" t="str">
        <f>"T"&amp;INT((MONTH(C212)-1)/3)+1</f>
        <v>T3</v>
      </c>
      <c r="H212" s="6">
        <f>YEAR(C212)</f>
        <v>2025</v>
      </c>
    </row>
    <row r="213" spans="3:8" x14ac:dyDescent="0.35">
      <c r="C213" s="7">
        <v>45866</v>
      </c>
      <c r="D213" s="6">
        <f t="shared" ref="D213:D220" si="34">DAY(C213)</f>
        <v>28</v>
      </c>
      <c r="E213" s="6">
        <f t="shared" ref="E213:E220" si="35">MONTH(C213)</f>
        <v>7</v>
      </c>
      <c r="F213" s="6" t="str">
        <f t="shared" si="33"/>
        <v>Jul</v>
      </c>
      <c r="G213" s="7" t="str">
        <f t="shared" ref="G213:G220" si="36">"T"&amp;INT((MONTH(C213)-1)/3)+1</f>
        <v>T3</v>
      </c>
      <c r="H213" s="6">
        <f t="shared" ref="H213:H220" si="37">YEAR(C213)</f>
        <v>2025</v>
      </c>
    </row>
    <row r="214" spans="3:8" x14ac:dyDescent="0.35">
      <c r="C214" s="7">
        <v>45867</v>
      </c>
      <c r="D214" s="6">
        <f t="shared" si="34"/>
        <v>29</v>
      </c>
      <c r="E214" s="6">
        <f t="shared" si="35"/>
        <v>7</v>
      </c>
      <c r="F214" s="6" t="str">
        <f t="shared" si="33"/>
        <v>Jul</v>
      </c>
      <c r="G214" s="7" t="str">
        <f t="shared" si="36"/>
        <v>T3</v>
      </c>
      <c r="H214" s="6">
        <f t="shared" si="37"/>
        <v>2025</v>
      </c>
    </row>
    <row r="215" spans="3:8" x14ac:dyDescent="0.35">
      <c r="C215" s="7">
        <v>45868</v>
      </c>
      <c r="D215" s="6">
        <f t="shared" si="34"/>
        <v>30</v>
      </c>
      <c r="E215" s="6">
        <f t="shared" si="35"/>
        <v>7</v>
      </c>
      <c r="F215" s="6" t="str">
        <f t="shared" si="33"/>
        <v>Jul</v>
      </c>
      <c r="G215" s="7" t="str">
        <f t="shared" si="36"/>
        <v>T3</v>
      </c>
      <c r="H215" s="6">
        <f t="shared" si="37"/>
        <v>2025</v>
      </c>
    </row>
    <row r="216" spans="3:8" x14ac:dyDescent="0.35">
      <c r="C216" s="7">
        <v>45869</v>
      </c>
      <c r="D216" s="6">
        <f t="shared" si="34"/>
        <v>31</v>
      </c>
      <c r="E216" s="6">
        <f t="shared" si="35"/>
        <v>7</v>
      </c>
      <c r="F216" s="6" t="str">
        <f t="shared" si="33"/>
        <v>Jul</v>
      </c>
      <c r="G216" s="7" t="str">
        <f t="shared" si="36"/>
        <v>T3</v>
      </c>
      <c r="H216" s="6">
        <f t="shared" si="37"/>
        <v>2025</v>
      </c>
    </row>
    <row r="217" spans="3:8" x14ac:dyDescent="0.35">
      <c r="C217" s="7">
        <v>45870</v>
      </c>
      <c r="D217" s="6">
        <f t="shared" si="34"/>
        <v>1</v>
      </c>
      <c r="E217" s="6">
        <f t="shared" si="35"/>
        <v>8</v>
      </c>
      <c r="F217" s="6" t="str">
        <f t="shared" si="33"/>
        <v>Aug</v>
      </c>
      <c r="G217" s="7" t="str">
        <f t="shared" si="36"/>
        <v>T3</v>
      </c>
      <c r="H217" s="6">
        <f t="shared" si="37"/>
        <v>2025</v>
      </c>
    </row>
    <row r="218" spans="3:8" x14ac:dyDescent="0.35">
      <c r="C218" s="7">
        <v>45871</v>
      </c>
      <c r="D218" s="6">
        <f t="shared" si="34"/>
        <v>2</v>
      </c>
      <c r="E218" s="6">
        <f t="shared" si="35"/>
        <v>8</v>
      </c>
      <c r="F218" s="6" t="str">
        <f t="shared" si="33"/>
        <v>Aug</v>
      </c>
      <c r="G218" s="7" t="str">
        <f t="shared" si="36"/>
        <v>T3</v>
      </c>
      <c r="H218" s="6">
        <f t="shared" si="37"/>
        <v>2025</v>
      </c>
    </row>
    <row r="219" spans="3:8" x14ac:dyDescent="0.35">
      <c r="C219" s="7">
        <v>45872</v>
      </c>
      <c r="D219" s="6">
        <f t="shared" si="34"/>
        <v>3</v>
      </c>
      <c r="E219" s="6">
        <f t="shared" si="35"/>
        <v>8</v>
      </c>
      <c r="F219" s="6" t="str">
        <f t="shared" si="33"/>
        <v>Aug</v>
      </c>
      <c r="G219" s="7" t="str">
        <f t="shared" si="36"/>
        <v>T3</v>
      </c>
      <c r="H219" s="6">
        <f t="shared" si="37"/>
        <v>2025</v>
      </c>
    </row>
    <row r="220" spans="3:8" x14ac:dyDescent="0.35">
      <c r="C220" s="7">
        <v>45873</v>
      </c>
      <c r="D220" s="6">
        <f t="shared" si="34"/>
        <v>4</v>
      </c>
      <c r="E220" s="6">
        <f t="shared" si="35"/>
        <v>8</v>
      </c>
      <c r="F220" s="6" t="str">
        <f t="shared" si="33"/>
        <v>Aug</v>
      </c>
      <c r="G220" s="7" t="str">
        <f t="shared" si="36"/>
        <v>T3</v>
      </c>
      <c r="H220" s="6">
        <f t="shared" si="37"/>
        <v>2025</v>
      </c>
    </row>
    <row r="221" spans="3:8" x14ac:dyDescent="0.35">
      <c r="C221" s="7">
        <v>45874</v>
      </c>
      <c r="D221" s="6">
        <f>DAY(C221)</f>
        <v>5</v>
      </c>
      <c r="E221" s="6">
        <f>MONTH(C221)</f>
        <v>8</v>
      </c>
      <c r="F221" s="6" t="str">
        <f t="shared" si="33"/>
        <v>Aug</v>
      </c>
      <c r="G221" s="7" t="str">
        <f>"T"&amp;INT((MONTH(C221)-1)/3)+1</f>
        <v>T3</v>
      </c>
      <c r="H221" s="6">
        <f>YEAR(C221)</f>
        <v>2025</v>
      </c>
    </row>
    <row r="222" spans="3:8" x14ac:dyDescent="0.35">
      <c r="C222" s="7">
        <v>45875</v>
      </c>
      <c r="D222" s="6">
        <f t="shared" ref="D222:D233" si="38">DAY(C222)</f>
        <v>6</v>
      </c>
      <c r="E222" s="6">
        <f t="shared" ref="E222:E233" si="39">MONTH(C222)</f>
        <v>8</v>
      </c>
      <c r="F222" s="6" t="str">
        <f t="shared" si="33"/>
        <v>Aug</v>
      </c>
      <c r="G222" s="7" t="str">
        <f t="shared" ref="G222:G233" si="40">"T"&amp;INT((MONTH(C222)-1)/3)+1</f>
        <v>T3</v>
      </c>
      <c r="H222" s="6">
        <f t="shared" ref="H222:H233" si="41">YEAR(C222)</f>
        <v>2025</v>
      </c>
    </row>
    <row r="223" spans="3:8" x14ac:dyDescent="0.35">
      <c r="C223" s="7">
        <v>45876</v>
      </c>
      <c r="D223" s="6">
        <f t="shared" si="38"/>
        <v>7</v>
      </c>
      <c r="E223" s="6">
        <f t="shared" si="39"/>
        <v>8</v>
      </c>
      <c r="F223" s="6" t="str">
        <f t="shared" si="33"/>
        <v>Aug</v>
      </c>
      <c r="G223" s="7" t="str">
        <f t="shared" si="40"/>
        <v>T3</v>
      </c>
      <c r="H223" s="6">
        <f t="shared" si="41"/>
        <v>2025</v>
      </c>
    </row>
    <row r="224" spans="3:8" x14ac:dyDescent="0.35">
      <c r="C224" s="7">
        <v>45877</v>
      </c>
      <c r="D224" s="6">
        <f t="shared" si="38"/>
        <v>8</v>
      </c>
      <c r="E224" s="6">
        <f t="shared" si="39"/>
        <v>8</v>
      </c>
      <c r="F224" s="6" t="str">
        <f t="shared" si="33"/>
        <v>Aug</v>
      </c>
      <c r="G224" s="7" t="str">
        <f t="shared" si="40"/>
        <v>T3</v>
      </c>
      <c r="H224" s="6">
        <f t="shared" si="41"/>
        <v>2025</v>
      </c>
    </row>
    <row r="225" spans="3:8" x14ac:dyDescent="0.35">
      <c r="C225" s="7">
        <v>45878</v>
      </c>
      <c r="D225" s="6">
        <f t="shared" si="38"/>
        <v>9</v>
      </c>
      <c r="E225" s="6">
        <f t="shared" si="39"/>
        <v>8</v>
      </c>
      <c r="F225" s="6" t="str">
        <f t="shared" si="33"/>
        <v>Aug</v>
      </c>
      <c r="G225" s="7" t="str">
        <f t="shared" si="40"/>
        <v>T3</v>
      </c>
      <c r="H225" s="6">
        <f t="shared" si="41"/>
        <v>2025</v>
      </c>
    </row>
    <row r="226" spans="3:8" x14ac:dyDescent="0.35">
      <c r="C226" s="7">
        <v>45879</v>
      </c>
      <c r="D226" s="6">
        <f t="shared" si="38"/>
        <v>10</v>
      </c>
      <c r="E226" s="6">
        <f t="shared" si="39"/>
        <v>8</v>
      </c>
      <c r="F226" s="6" t="str">
        <f t="shared" si="33"/>
        <v>Aug</v>
      </c>
      <c r="G226" s="7" t="str">
        <f t="shared" si="40"/>
        <v>T3</v>
      </c>
      <c r="H226" s="6">
        <f t="shared" si="41"/>
        <v>2025</v>
      </c>
    </row>
    <row r="227" spans="3:8" x14ac:dyDescent="0.35">
      <c r="C227" s="7">
        <v>45880</v>
      </c>
      <c r="D227" s="6">
        <f t="shared" si="38"/>
        <v>11</v>
      </c>
      <c r="E227" s="6">
        <f t="shared" si="39"/>
        <v>8</v>
      </c>
      <c r="F227" s="6" t="str">
        <f t="shared" ref="F227:F233" si="42">TEXT(C227, "mmm")</f>
        <v>Aug</v>
      </c>
      <c r="G227" s="7" t="str">
        <f t="shared" si="40"/>
        <v>T3</v>
      </c>
      <c r="H227" s="6">
        <f t="shared" si="41"/>
        <v>2025</v>
      </c>
    </row>
    <row r="228" spans="3:8" x14ac:dyDescent="0.35">
      <c r="C228" s="7">
        <v>45881</v>
      </c>
      <c r="D228" s="6">
        <f t="shared" si="38"/>
        <v>12</v>
      </c>
      <c r="E228" s="6">
        <f t="shared" si="39"/>
        <v>8</v>
      </c>
      <c r="F228" s="6" t="str">
        <f t="shared" si="42"/>
        <v>Aug</v>
      </c>
      <c r="G228" s="7" t="str">
        <f t="shared" si="40"/>
        <v>T3</v>
      </c>
      <c r="H228" s="6">
        <f t="shared" si="41"/>
        <v>2025</v>
      </c>
    </row>
    <row r="229" spans="3:8" x14ac:dyDescent="0.35">
      <c r="C229" s="7">
        <v>45882</v>
      </c>
      <c r="D229" s="6">
        <f t="shared" si="38"/>
        <v>13</v>
      </c>
      <c r="E229" s="6">
        <f t="shared" si="39"/>
        <v>8</v>
      </c>
      <c r="F229" s="6" t="str">
        <f t="shared" si="42"/>
        <v>Aug</v>
      </c>
      <c r="G229" s="7" t="str">
        <f t="shared" si="40"/>
        <v>T3</v>
      </c>
      <c r="H229" s="6">
        <f t="shared" si="41"/>
        <v>2025</v>
      </c>
    </row>
    <row r="230" spans="3:8" x14ac:dyDescent="0.35">
      <c r="C230" s="7">
        <v>45883</v>
      </c>
      <c r="D230" s="6">
        <f t="shared" si="38"/>
        <v>14</v>
      </c>
      <c r="E230" s="6">
        <f t="shared" si="39"/>
        <v>8</v>
      </c>
      <c r="F230" s="6" t="str">
        <f t="shared" si="42"/>
        <v>Aug</v>
      </c>
      <c r="G230" s="7" t="str">
        <f t="shared" si="40"/>
        <v>T3</v>
      </c>
      <c r="H230" s="6">
        <f t="shared" si="41"/>
        <v>2025</v>
      </c>
    </row>
    <row r="231" spans="3:8" x14ac:dyDescent="0.35">
      <c r="C231" s="7">
        <v>45884</v>
      </c>
      <c r="D231" s="6">
        <f t="shared" si="38"/>
        <v>15</v>
      </c>
      <c r="E231" s="6">
        <f t="shared" si="39"/>
        <v>8</v>
      </c>
      <c r="F231" s="6" t="str">
        <f t="shared" si="42"/>
        <v>Aug</v>
      </c>
      <c r="G231" s="7" t="str">
        <f t="shared" si="40"/>
        <v>T3</v>
      </c>
      <c r="H231" s="6">
        <f t="shared" si="41"/>
        <v>2025</v>
      </c>
    </row>
    <row r="232" spans="3:8" x14ac:dyDescent="0.35">
      <c r="C232" s="7">
        <v>45885</v>
      </c>
      <c r="D232" s="6">
        <f t="shared" si="38"/>
        <v>16</v>
      </c>
      <c r="E232" s="6">
        <f t="shared" si="39"/>
        <v>8</v>
      </c>
      <c r="F232" s="6" t="str">
        <f t="shared" si="42"/>
        <v>Aug</v>
      </c>
      <c r="G232" s="7" t="str">
        <f t="shared" si="40"/>
        <v>T3</v>
      </c>
      <c r="H232" s="6">
        <f t="shared" si="41"/>
        <v>2025</v>
      </c>
    </row>
    <row r="233" spans="3:8" x14ac:dyDescent="0.35">
      <c r="C233" s="7">
        <v>45886</v>
      </c>
      <c r="D233" s="6">
        <f t="shared" si="38"/>
        <v>17</v>
      </c>
      <c r="E233" s="6">
        <f t="shared" si="39"/>
        <v>8</v>
      </c>
      <c r="F233" s="6" t="str">
        <f t="shared" si="42"/>
        <v>Aug</v>
      </c>
      <c r="G233" s="7" t="str">
        <f t="shared" si="40"/>
        <v>T3</v>
      </c>
      <c r="H233" s="6">
        <f t="shared" si="41"/>
        <v>2025</v>
      </c>
    </row>
    <row r="234" spans="3:8" x14ac:dyDescent="0.35">
      <c r="C234" s="7">
        <v>45887</v>
      </c>
      <c r="D234" s="6">
        <f>DAY(C234)</f>
        <v>18</v>
      </c>
      <c r="E234" s="6">
        <f>MONTH(C234)</f>
        <v>8</v>
      </c>
      <c r="F234" s="6" t="str">
        <f t="shared" ref="F234:F265" si="43">TEXT(C234, "mmm")</f>
        <v>Aug</v>
      </c>
      <c r="G234" s="7" t="str">
        <f>"T"&amp;INT((MONTH(C234)-1)/3)+1</f>
        <v>T3</v>
      </c>
      <c r="H234" s="6">
        <f>YEAR(C234)</f>
        <v>2025</v>
      </c>
    </row>
    <row r="235" spans="3:8" x14ac:dyDescent="0.35">
      <c r="C235" s="7">
        <v>45888</v>
      </c>
      <c r="D235" s="6">
        <f t="shared" ref="D235:D241" si="44">DAY(C235)</f>
        <v>19</v>
      </c>
      <c r="E235" s="6">
        <f t="shared" ref="E235:E241" si="45">MONTH(C235)</f>
        <v>8</v>
      </c>
      <c r="F235" s="6" t="str">
        <f t="shared" si="43"/>
        <v>Aug</v>
      </c>
      <c r="G235" s="7" t="str">
        <f t="shared" ref="G235:G241" si="46">"T"&amp;INT((MONTH(C235)-1)/3)+1</f>
        <v>T3</v>
      </c>
      <c r="H235" s="6">
        <f t="shared" ref="H235:H241" si="47">YEAR(C235)</f>
        <v>2025</v>
      </c>
    </row>
    <row r="236" spans="3:8" x14ac:dyDescent="0.35">
      <c r="C236" s="7">
        <v>45889</v>
      </c>
      <c r="D236" s="6">
        <f t="shared" si="44"/>
        <v>20</v>
      </c>
      <c r="E236" s="6">
        <f t="shared" si="45"/>
        <v>8</v>
      </c>
      <c r="F236" s="6" t="str">
        <f t="shared" si="43"/>
        <v>Aug</v>
      </c>
      <c r="G236" s="7" t="str">
        <f t="shared" si="46"/>
        <v>T3</v>
      </c>
      <c r="H236" s="6">
        <f t="shared" si="47"/>
        <v>2025</v>
      </c>
    </row>
    <row r="237" spans="3:8" x14ac:dyDescent="0.35">
      <c r="C237" s="7">
        <v>45890</v>
      </c>
      <c r="D237" s="6">
        <f t="shared" si="44"/>
        <v>21</v>
      </c>
      <c r="E237" s="6">
        <f t="shared" si="45"/>
        <v>8</v>
      </c>
      <c r="F237" s="6" t="str">
        <f t="shared" si="43"/>
        <v>Aug</v>
      </c>
      <c r="G237" s="7" t="str">
        <f t="shared" si="46"/>
        <v>T3</v>
      </c>
      <c r="H237" s="6">
        <f t="shared" si="47"/>
        <v>2025</v>
      </c>
    </row>
    <row r="238" spans="3:8" x14ac:dyDescent="0.35">
      <c r="C238" s="7">
        <v>45891</v>
      </c>
      <c r="D238" s="6">
        <f t="shared" si="44"/>
        <v>22</v>
      </c>
      <c r="E238" s="6">
        <f t="shared" si="45"/>
        <v>8</v>
      </c>
      <c r="F238" s="6" t="str">
        <f t="shared" si="43"/>
        <v>Aug</v>
      </c>
      <c r="G238" s="7" t="str">
        <f t="shared" si="46"/>
        <v>T3</v>
      </c>
      <c r="H238" s="6">
        <f t="shared" si="47"/>
        <v>2025</v>
      </c>
    </row>
    <row r="239" spans="3:8" x14ac:dyDescent="0.35">
      <c r="C239" s="7">
        <v>45892</v>
      </c>
      <c r="D239" s="6">
        <f t="shared" si="44"/>
        <v>23</v>
      </c>
      <c r="E239" s="6">
        <f t="shared" si="45"/>
        <v>8</v>
      </c>
      <c r="F239" s="6" t="str">
        <f t="shared" si="43"/>
        <v>Aug</v>
      </c>
      <c r="G239" s="7" t="str">
        <f t="shared" si="46"/>
        <v>T3</v>
      </c>
      <c r="H239" s="6">
        <f t="shared" si="47"/>
        <v>2025</v>
      </c>
    </row>
    <row r="240" spans="3:8" x14ac:dyDescent="0.35">
      <c r="C240" s="7">
        <v>45893</v>
      </c>
      <c r="D240" s="6">
        <f t="shared" si="44"/>
        <v>24</v>
      </c>
      <c r="E240" s="6">
        <f t="shared" si="45"/>
        <v>8</v>
      </c>
      <c r="F240" s="6" t="str">
        <f t="shared" si="43"/>
        <v>Aug</v>
      </c>
      <c r="G240" s="7" t="str">
        <f t="shared" si="46"/>
        <v>T3</v>
      </c>
      <c r="H240" s="6">
        <f t="shared" si="47"/>
        <v>2025</v>
      </c>
    </row>
    <row r="241" spans="3:8" x14ac:dyDescent="0.35">
      <c r="C241" s="7">
        <v>45894</v>
      </c>
      <c r="D241" s="6">
        <f t="shared" si="44"/>
        <v>25</v>
      </c>
      <c r="E241" s="6">
        <f t="shared" si="45"/>
        <v>8</v>
      </c>
      <c r="F241" s="6" t="str">
        <f t="shared" si="43"/>
        <v>Aug</v>
      </c>
      <c r="G241" s="7" t="str">
        <f t="shared" si="46"/>
        <v>T3</v>
      </c>
      <c r="H241" s="6">
        <f t="shared" si="47"/>
        <v>2025</v>
      </c>
    </row>
    <row r="242" spans="3:8" x14ac:dyDescent="0.35">
      <c r="C242" s="7">
        <v>45895</v>
      </c>
      <c r="D242" s="6">
        <f>DAY(C242)</f>
        <v>26</v>
      </c>
      <c r="E242" s="6">
        <f>MONTH(C242)</f>
        <v>8</v>
      </c>
      <c r="F242" s="6" t="str">
        <f t="shared" si="43"/>
        <v>Aug</v>
      </c>
      <c r="G242" s="7" t="str">
        <f>"T"&amp;INT((MONTH(C242)-1)/3)+1</f>
        <v>T3</v>
      </c>
      <c r="H242" s="6">
        <f>YEAR(C242)</f>
        <v>2025</v>
      </c>
    </row>
    <row r="243" spans="3:8" x14ac:dyDescent="0.35">
      <c r="C243" s="7">
        <v>45896</v>
      </c>
      <c r="D243" s="6">
        <f t="shared" ref="D243:D251" si="48">DAY(C243)</f>
        <v>27</v>
      </c>
      <c r="E243" s="6">
        <f t="shared" ref="E243:E251" si="49">MONTH(C243)</f>
        <v>8</v>
      </c>
      <c r="F243" s="6" t="str">
        <f t="shared" si="43"/>
        <v>Aug</v>
      </c>
      <c r="G243" s="7" t="str">
        <f t="shared" ref="G243:G251" si="50">"T"&amp;INT((MONTH(C243)-1)/3)+1</f>
        <v>T3</v>
      </c>
      <c r="H243" s="6">
        <f t="shared" ref="H243:H251" si="51">YEAR(C243)</f>
        <v>2025</v>
      </c>
    </row>
    <row r="244" spans="3:8" x14ac:dyDescent="0.35">
      <c r="C244" s="7">
        <v>45897</v>
      </c>
      <c r="D244" s="6">
        <f t="shared" si="48"/>
        <v>28</v>
      </c>
      <c r="E244" s="6">
        <f t="shared" si="49"/>
        <v>8</v>
      </c>
      <c r="F244" s="6" t="str">
        <f t="shared" si="43"/>
        <v>Aug</v>
      </c>
      <c r="G244" s="7" t="str">
        <f t="shared" si="50"/>
        <v>T3</v>
      </c>
      <c r="H244" s="6">
        <f t="shared" si="51"/>
        <v>2025</v>
      </c>
    </row>
    <row r="245" spans="3:8" x14ac:dyDescent="0.35">
      <c r="C245" s="7">
        <v>45898</v>
      </c>
      <c r="D245" s="6">
        <f t="shared" si="48"/>
        <v>29</v>
      </c>
      <c r="E245" s="6">
        <f t="shared" si="49"/>
        <v>8</v>
      </c>
      <c r="F245" s="6" t="str">
        <f t="shared" si="43"/>
        <v>Aug</v>
      </c>
      <c r="G245" s="7" t="str">
        <f t="shared" si="50"/>
        <v>T3</v>
      </c>
      <c r="H245" s="6">
        <f t="shared" si="51"/>
        <v>2025</v>
      </c>
    </row>
    <row r="246" spans="3:8" x14ac:dyDescent="0.35">
      <c r="C246" s="7">
        <v>45899</v>
      </c>
      <c r="D246" s="6">
        <f t="shared" si="48"/>
        <v>30</v>
      </c>
      <c r="E246" s="6">
        <f t="shared" si="49"/>
        <v>8</v>
      </c>
      <c r="F246" s="6" t="str">
        <f t="shared" si="43"/>
        <v>Aug</v>
      </c>
      <c r="G246" s="7" t="str">
        <f t="shared" si="50"/>
        <v>T3</v>
      </c>
      <c r="H246" s="6">
        <f t="shared" si="51"/>
        <v>2025</v>
      </c>
    </row>
    <row r="247" spans="3:8" x14ac:dyDescent="0.35">
      <c r="C247" s="7">
        <v>45900</v>
      </c>
      <c r="D247" s="6">
        <f t="shared" si="48"/>
        <v>31</v>
      </c>
      <c r="E247" s="6">
        <f t="shared" si="49"/>
        <v>8</v>
      </c>
      <c r="F247" s="6" t="str">
        <f t="shared" si="43"/>
        <v>Aug</v>
      </c>
      <c r="G247" s="7" t="str">
        <f t="shared" si="50"/>
        <v>T3</v>
      </c>
      <c r="H247" s="6">
        <f t="shared" si="51"/>
        <v>2025</v>
      </c>
    </row>
    <row r="248" spans="3:8" x14ac:dyDescent="0.35">
      <c r="C248" s="7">
        <v>45901</v>
      </c>
      <c r="D248" s="6">
        <f t="shared" si="48"/>
        <v>1</v>
      </c>
      <c r="E248" s="6">
        <f t="shared" si="49"/>
        <v>9</v>
      </c>
      <c r="F248" s="6" t="str">
        <f t="shared" si="43"/>
        <v>Sep</v>
      </c>
      <c r="G248" s="7" t="str">
        <f t="shared" si="50"/>
        <v>T3</v>
      </c>
      <c r="H248" s="6">
        <f t="shared" si="51"/>
        <v>2025</v>
      </c>
    </row>
    <row r="249" spans="3:8" x14ac:dyDescent="0.35">
      <c r="C249" s="7">
        <v>45902</v>
      </c>
      <c r="D249" s="6">
        <f t="shared" si="48"/>
        <v>2</v>
      </c>
      <c r="E249" s="6">
        <f t="shared" si="49"/>
        <v>9</v>
      </c>
      <c r="F249" s="6" t="str">
        <f t="shared" si="43"/>
        <v>Sep</v>
      </c>
      <c r="G249" s="7" t="str">
        <f t="shared" si="50"/>
        <v>T3</v>
      </c>
      <c r="H249" s="6">
        <f t="shared" si="51"/>
        <v>2025</v>
      </c>
    </row>
    <row r="250" spans="3:8" x14ac:dyDescent="0.35">
      <c r="C250" s="7">
        <v>45903</v>
      </c>
      <c r="D250" s="6">
        <f t="shared" si="48"/>
        <v>3</v>
      </c>
      <c r="E250" s="6">
        <f t="shared" si="49"/>
        <v>9</v>
      </c>
      <c r="F250" s="6" t="str">
        <f t="shared" si="43"/>
        <v>Sep</v>
      </c>
      <c r="G250" s="7" t="str">
        <f t="shared" si="50"/>
        <v>T3</v>
      </c>
      <c r="H250" s="6">
        <f t="shared" si="51"/>
        <v>2025</v>
      </c>
    </row>
    <row r="251" spans="3:8" x14ac:dyDescent="0.35">
      <c r="C251" s="7">
        <v>45904</v>
      </c>
      <c r="D251" s="6">
        <f t="shared" si="48"/>
        <v>4</v>
      </c>
      <c r="E251" s="6">
        <f t="shared" si="49"/>
        <v>9</v>
      </c>
      <c r="F251" s="6" t="str">
        <f t="shared" si="43"/>
        <v>Sep</v>
      </c>
      <c r="G251" s="7" t="str">
        <f t="shared" si="50"/>
        <v>T3</v>
      </c>
      <c r="H251" s="6">
        <f t="shared" si="51"/>
        <v>2025</v>
      </c>
    </row>
    <row r="252" spans="3:8" x14ac:dyDescent="0.35">
      <c r="C252" s="7">
        <v>45905</v>
      </c>
      <c r="D252" s="6">
        <f>DAY(C252)</f>
        <v>5</v>
      </c>
      <c r="E252" s="6">
        <f>MONTH(C252)</f>
        <v>9</v>
      </c>
      <c r="F252" s="6" t="str">
        <f t="shared" si="43"/>
        <v>Sep</v>
      </c>
      <c r="G252" s="7" t="str">
        <f>"T"&amp;INT((MONTH(C252)-1)/3)+1</f>
        <v>T3</v>
      </c>
      <c r="H252" s="6">
        <f>YEAR(C252)</f>
        <v>2025</v>
      </c>
    </row>
    <row r="253" spans="3:8" x14ac:dyDescent="0.35">
      <c r="C253" s="7">
        <v>45906</v>
      </c>
      <c r="D253" s="6">
        <f>DAY(C253)</f>
        <v>6</v>
      </c>
      <c r="E253" s="6">
        <f>MONTH(C253)</f>
        <v>9</v>
      </c>
      <c r="F253" s="6" t="str">
        <f t="shared" si="43"/>
        <v>Sep</v>
      </c>
      <c r="G253" s="7" t="str">
        <f>"T"&amp;INT((MONTH(C253)-1)/3)+1</f>
        <v>T3</v>
      </c>
      <c r="H253" s="6">
        <f>YEAR(C253)</f>
        <v>2025</v>
      </c>
    </row>
    <row r="254" spans="3:8" x14ac:dyDescent="0.35">
      <c r="C254" s="7">
        <v>45907</v>
      </c>
      <c r="D254" s="6">
        <f>DAY(C254)</f>
        <v>7</v>
      </c>
      <c r="E254" s="6">
        <f>MONTH(C254)</f>
        <v>9</v>
      </c>
      <c r="F254" s="6" t="str">
        <f t="shared" si="43"/>
        <v>Sep</v>
      </c>
      <c r="G254" s="7" t="str">
        <f>"T"&amp;INT((MONTH(C254)-1)/3)+1</f>
        <v>T3</v>
      </c>
      <c r="H254" s="6">
        <f>YEAR(C254)</f>
        <v>2025</v>
      </c>
    </row>
    <row r="255" spans="3:8" x14ac:dyDescent="0.35">
      <c r="C255" s="7">
        <v>45908</v>
      </c>
      <c r="D255" s="6">
        <f>DAY(C255)</f>
        <v>8</v>
      </c>
      <c r="E255" s="6">
        <f>MONTH(C255)</f>
        <v>9</v>
      </c>
      <c r="F255" s="6" t="str">
        <f t="shared" si="43"/>
        <v>Sep</v>
      </c>
      <c r="G255" s="7" t="str">
        <f>"T"&amp;INT((MONTH(C255)-1)/3)+1</f>
        <v>T3</v>
      </c>
      <c r="H255" s="6">
        <f>YEAR(C255)</f>
        <v>2025</v>
      </c>
    </row>
    <row r="256" spans="3:8" x14ac:dyDescent="0.35">
      <c r="C256" s="7">
        <v>45909</v>
      </c>
      <c r="D256" s="6">
        <f t="shared" ref="D256:D263" si="52">DAY(C256)</f>
        <v>9</v>
      </c>
      <c r="E256" s="6">
        <f t="shared" ref="E256:E263" si="53">MONTH(C256)</f>
        <v>9</v>
      </c>
      <c r="F256" s="6" t="str">
        <f t="shared" si="43"/>
        <v>Sep</v>
      </c>
      <c r="G256" s="7" t="str">
        <f t="shared" ref="G256:G263" si="54">"T"&amp;INT((MONTH(C256)-1)/3)+1</f>
        <v>T3</v>
      </c>
      <c r="H256" s="6">
        <f t="shared" ref="H256:H263" si="55">YEAR(C256)</f>
        <v>2025</v>
      </c>
    </row>
    <row r="257" spans="3:8" x14ac:dyDescent="0.35">
      <c r="C257" s="7">
        <v>45910</v>
      </c>
      <c r="D257" s="6">
        <f t="shared" si="52"/>
        <v>10</v>
      </c>
      <c r="E257" s="6">
        <f t="shared" si="53"/>
        <v>9</v>
      </c>
      <c r="F257" s="6" t="str">
        <f t="shared" si="43"/>
        <v>Sep</v>
      </c>
      <c r="G257" s="7" t="str">
        <f t="shared" si="54"/>
        <v>T3</v>
      </c>
      <c r="H257" s="6">
        <f t="shared" si="55"/>
        <v>2025</v>
      </c>
    </row>
    <row r="258" spans="3:8" x14ac:dyDescent="0.35">
      <c r="C258" s="7">
        <v>45911</v>
      </c>
      <c r="D258" s="6">
        <f t="shared" si="52"/>
        <v>11</v>
      </c>
      <c r="E258" s="6">
        <f t="shared" si="53"/>
        <v>9</v>
      </c>
      <c r="F258" s="6" t="str">
        <f t="shared" si="43"/>
        <v>Sep</v>
      </c>
      <c r="G258" s="7" t="str">
        <f t="shared" si="54"/>
        <v>T3</v>
      </c>
      <c r="H258" s="6">
        <f t="shared" si="55"/>
        <v>2025</v>
      </c>
    </row>
    <row r="259" spans="3:8" x14ac:dyDescent="0.35">
      <c r="C259" s="7">
        <v>45912</v>
      </c>
      <c r="D259" s="6">
        <f t="shared" si="52"/>
        <v>12</v>
      </c>
      <c r="E259" s="6">
        <f t="shared" si="53"/>
        <v>9</v>
      </c>
      <c r="F259" s="6" t="str">
        <f t="shared" si="43"/>
        <v>Sep</v>
      </c>
      <c r="G259" s="7" t="str">
        <f t="shared" si="54"/>
        <v>T3</v>
      </c>
      <c r="H259" s="6">
        <f t="shared" si="55"/>
        <v>2025</v>
      </c>
    </row>
    <row r="260" spans="3:8" x14ac:dyDescent="0.35">
      <c r="C260" s="7">
        <v>45913</v>
      </c>
      <c r="D260" s="6">
        <f t="shared" si="52"/>
        <v>13</v>
      </c>
      <c r="E260" s="6">
        <f t="shared" si="53"/>
        <v>9</v>
      </c>
      <c r="F260" s="6" t="str">
        <f t="shared" si="43"/>
        <v>Sep</v>
      </c>
      <c r="G260" s="7" t="str">
        <f t="shared" si="54"/>
        <v>T3</v>
      </c>
      <c r="H260" s="6">
        <f t="shared" si="55"/>
        <v>2025</v>
      </c>
    </row>
    <row r="261" spans="3:8" x14ac:dyDescent="0.35">
      <c r="C261" s="7">
        <v>45914</v>
      </c>
      <c r="D261" s="6">
        <f t="shared" si="52"/>
        <v>14</v>
      </c>
      <c r="E261" s="6">
        <f t="shared" si="53"/>
        <v>9</v>
      </c>
      <c r="F261" s="6" t="str">
        <f t="shared" si="43"/>
        <v>Sep</v>
      </c>
      <c r="G261" s="7" t="str">
        <f t="shared" si="54"/>
        <v>T3</v>
      </c>
      <c r="H261" s="6">
        <f t="shared" si="55"/>
        <v>2025</v>
      </c>
    </row>
    <row r="262" spans="3:8" x14ac:dyDescent="0.35">
      <c r="C262" s="7">
        <v>45915</v>
      </c>
      <c r="D262" s="6">
        <f t="shared" si="52"/>
        <v>15</v>
      </c>
      <c r="E262" s="6">
        <f t="shared" si="53"/>
        <v>9</v>
      </c>
      <c r="F262" s="6" t="str">
        <f t="shared" si="43"/>
        <v>Sep</v>
      </c>
      <c r="G262" s="7" t="str">
        <f t="shared" si="54"/>
        <v>T3</v>
      </c>
      <c r="H262" s="6">
        <f t="shared" si="55"/>
        <v>2025</v>
      </c>
    </row>
    <row r="263" spans="3:8" x14ac:dyDescent="0.35">
      <c r="C263" s="7">
        <v>45916</v>
      </c>
      <c r="D263" s="6">
        <f t="shared" si="52"/>
        <v>16</v>
      </c>
      <c r="E263" s="6">
        <f t="shared" si="53"/>
        <v>9</v>
      </c>
      <c r="F263" s="6" t="str">
        <f t="shared" si="43"/>
        <v>Sep</v>
      </c>
      <c r="G263" s="7" t="str">
        <f t="shared" si="54"/>
        <v>T3</v>
      </c>
      <c r="H263" s="6">
        <f t="shared" si="55"/>
        <v>2025</v>
      </c>
    </row>
    <row r="264" spans="3:8" x14ac:dyDescent="0.35">
      <c r="C264" s="7">
        <v>45917</v>
      </c>
      <c r="D264" s="6">
        <f>DAY(C264)</f>
        <v>17</v>
      </c>
      <c r="E264" s="6">
        <f>MONTH(C264)</f>
        <v>9</v>
      </c>
      <c r="F264" s="6" t="str">
        <f t="shared" si="43"/>
        <v>Sep</v>
      </c>
      <c r="G264" s="7" t="str">
        <f>"T"&amp;INT((MONTH(C264)-1)/3)+1</f>
        <v>T3</v>
      </c>
      <c r="H264" s="6">
        <f>YEAR(C264)</f>
        <v>2025</v>
      </c>
    </row>
    <row r="265" spans="3:8" x14ac:dyDescent="0.35">
      <c r="C265" s="7">
        <v>45918</v>
      </c>
      <c r="D265" s="6">
        <f t="shared" ref="D265:D271" si="56">DAY(C265)</f>
        <v>18</v>
      </c>
      <c r="E265" s="6">
        <f t="shared" ref="E265:E271" si="57">MONTH(C265)</f>
        <v>9</v>
      </c>
      <c r="F265" s="6" t="str">
        <f t="shared" si="43"/>
        <v>Sep</v>
      </c>
      <c r="G265" s="7" t="str">
        <f t="shared" ref="G265:G271" si="58">"T"&amp;INT((MONTH(C265)-1)/3)+1</f>
        <v>T3</v>
      </c>
      <c r="H265" s="6">
        <f t="shared" ref="H265:H271" si="59">YEAR(C265)</f>
        <v>2025</v>
      </c>
    </row>
    <row r="266" spans="3:8" x14ac:dyDescent="0.35">
      <c r="C266" s="7">
        <v>45919</v>
      </c>
      <c r="D266" s="6">
        <f t="shared" si="56"/>
        <v>19</v>
      </c>
      <c r="E266" s="6">
        <f t="shared" si="57"/>
        <v>9</v>
      </c>
      <c r="F266" s="6" t="str">
        <f t="shared" ref="F266:F284" si="60">TEXT(C266, "mmm")</f>
        <v>Sep</v>
      </c>
      <c r="G266" s="7" t="str">
        <f t="shared" si="58"/>
        <v>T3</v>
      </c>
      <c r="H266" s="6">
        <f t="shared" si="59"/>
        <v>2025</v>
      </c>
    </row>
    <row r="267" spans="3:8" x14ac:dyDescent="0.35">
      <c r="C267" s="7">
        <v>45920</v>
      </c>
      <c r="D267" s="6">
        <f t="shared" si="56"/>
        <v>20</v>
      </c>
      <c r="E267" s="6">
        <f t="shared" si="57"/>
        <v>9</v>
      </c>
      <c r="F267" s="6" t="str">
        <f t="shared" si="60"/>
        <v>Sep</v>
      </c>
      <c r="G267" s="7" t="str">
        <f t="shared" si="58"/>
        <v>T3</v>
      </c>
      <c r="H267" s="6">
        <f t="shared" si="59"/>
        <v>2025</v>
      </c>
    </row>
    <row r="268" spans="3:8" x14ac:dyDescent="0.35">
      <c r="C268" s="7">
        <v>45921</v>
      </c>
      <c r="D268" s="6">
        <f t="shared" si="56"/>
        <v>21</v>
      </c>
      <c r="E268" s="6">
        <f t="shared" si="57"/>
        <v>9</v>
      </c>
      <c r="F268" s="6" t="str">
        <f t="shared" si="60"/>
        <v>Sep</v>
      </c>
      <c r="G268" s="7" t="str">
        <f t="shared" si="58"/>
        <v>T3</v>
      </c>
      <c r="H268" s="6">
        <f t="shared" si="59"/>
        <v>2025</v>
      </c>
    </row>
    <row r="269" spans="3:8" x14ac:dyDescent="0.35">
      <c r="C269" s="7">
        <v>45922</v>
      </c>
      <c r="D269" s="6">
        <f t="shared" si="56"/>
        <v>22</v>
      </c>
      <c r="E269" s="6">
        <f t="shared" si="57"/>
        <v>9</v>
      </c>
      <c r="F269" s="6" t="str">
        <f t="shared" si="60"/>
        <v>Sep</v>
      </c>
      <c r="G269" s="7" t="str">
        <f t="shared" si="58"/>
        <v>T3</v>
      </c>
      <c r="H269" s="6">
        <f t="shared" si="59"/>
        <v>2025</v>
      </c>
    </row>
    <row r="270" spans="3:8" x14ac:dyDescent="0.35">
      <c r="C270" s="7">
        <v>45923</v>
      </c>
      <c r="D270" s="6">
        <f t="shared" si="56"/>
        <v>23</v>
      </c>
      <c r="E270" s="6">
        <f t="shared" si="57"/>
        <v>9</v>
      </c>
      <c r="F270" s="6" t="str">
        <f t="shared" si="60"/>
        <v>Sep</v>
      </c>
      <c r="G270" s="7" t="str">
        <f t="shared" si="58"/>
        <v>T3</v>
      </c>
      <c r="H270" s="6">
        <f t="shared" si="59"/>
        <v>2025</v>
      </c>
    </row>
    <row r="271" spans="3:8" x14ac:dyDescent="0.35">
      <c r="C271" s="7">
        <v>45924</v>
      </c>
      <c r="D271" s="6">
        <f t="shared" si="56"/>
        <v>24</v>
      </c>
      <c r="E271" s="6">
        <f t="shared" si="57"/>
        <v>9</v>
      </c>
      <c r="F271" s="6" t="str">
        <f t="shared" si="60"/>
        <v>Sep</v>
      </c>
      <c r="G271" s="7" t="str">
        <f t="shared" si="58"/>
        <v>T3</v>
      </c>
      <c r="H271" s="6">
        <f t="shared" si="59"/>
        <v>2025</v>
      </c>
    </row>
    <row r="272" spans="3:8" x14ac:dyDescent="0.35">
      <c r="C272" s="7">
        <v>45925</v>
      </c>
      <c r="D272" s="6">
        <f>DAY(C272)</f>
        <v>25</v>
      </c>
      <c r="E272" s="6">
        <f>MONTH(C272)</f>
        <v>9</v>
      </c>
      <c r="F272" s="6" t="str">
        <f t="shared" si="60"/>
        <v>Sep</v>
      </c>
      <c r="G272" s="7" t="str">
        <f>"T"&amp;INT((MONTH(C272)-1)/3)+1</f>
        <v>T3</v>
      </c>
      <c r="H272" s="6">
        <f>YEAR(C272)</f>
        <v>2025</v>
      </c>
    </row>
    <row r="273" spans="3:8" x14ac:dyDescent="0.35">
      <c r="C273" s="7">
        <v>45926</v>
      </c>
      <c r="D273" s="6">
        <f t="shared" ref="D273:D278" si="61">DAY(C273)</f>
        <v>26</v>
      </c>
      <c r="E273" s="6">
        <f t="shared" ref="E273:E278" si="62">MONTH(C273)</f>
        <v>9</v>
      </c>
      <c r="F273" s="6" t="str">
        <f t="shared" si="60"/>
        <v>Sep</v>
      </c>
      <c r="G273" s="7" t="str">
        <f t="shared" ref="G273:G278" si="63">"T"&amp;INT((MONTH(C273)-1)/3)+1</f>
        <v>T3</v>
      </c>
      <c r="H273" s="6">
        <f t="shared" ref="H273:H278" si="64">YEAR(C273)</f>
        <v>2025</v>
      </c>
    </row>
    <row r="274" spans="3:8" x14ac:dyDescent="0.35">
      <c r="C274" s="7">
        <v>45927</v>
      </c>
      <c r="D274" s="6">
        <f t="shared" si="61"/>
        <v>27</v>
      </c>
      <c r="E274" s="6">
        <f t="shared" si="62"/>
        <v>9</v>
      </c>
      <c r="F274" s="6" t="str">
        <f t="shared" si="60"/>
        <v>Sep</v>
      </c>
      <c r="G274" s="7" t="str">
        <f t="shared" si="63"/>
        <v>T3</v>
      </c>
      <c r="H274" s="6">
        <f t="shared" si="64"/>
        <v>2025</v>
      </c>
    </row>
    <row r="275" spans="3:8" x14ac:dyDescent="0.35">
      <c r="C275" s="7">
        <v>45928</v>
      </c>
      <c r="D275" s="6">
        <f t="shared" si="61"/>
        <v>28</v>
      </c>
      <c r="E275" s="6">
        <f t="shared" si="62"/>
        <v>9</v>
      </c>
      <c r="F275" s="6" t="str">
        <f t="shared" si="60"/>
        <v>Sep</v>
      </c>
      <c r="G275" s="7" t="str">
        <f t="shared" si="63"/>
        <v>T3</v>
      </c>
      <c r="H275" s="6">
        <f t="shared" si="64"/>
        <v>2025</v>
      </c>
    </row>
    <row r="276" spans="3:8" x14ac:dyDescent="0.35">
      <c r="C276" s="7">
        <v>45929</v>
      </c>
      <c r="D276" s="6">
        <f t="shared" si="61"/>
        <v>29</v>
      </c>
      <c r="E276" s="6">
        <f t="shared" si="62"/>
        <v>9</v>
      </c>
      <c r="F276" s="6" t="str">
        <f t="shared" si="60"/>
        <v>Sep</v>
      </c>
      <c r="G276" s="7" t="str">
        <f t="shared" si="63"/>
        <v>T3</v>
      </c>
      <c r="H276" s="6">
        <f t="shared" si="64"/>
        <v>2025</v>
      </c>
    </row>
    <row r="277" spans="3:8" x14ac:dyDescent="0.35">
      <c r="C277" s="7">
        <v>45930</v>
      </c>
      <c r="D277" s="6">
        <f t="shared" si="61"/>
        <v>30</v>
      </c>
      <c r="E277" s="6">
        <f t="shared" si="62"/>
        <v>9</v>
      </c>
      <c r="F277" s="6" t="str">
        <f t="shared" si="60"/>
        <v>Sep</v>
      </c>
      <c r="G277" s="7" t="str">
        <f t="shared" si="63"/>
        <v>T3</v>
      </c>
      <c r="H277" s="6">
        <f t="shared" si="64"/>
        <v>2025</v>
      </c>
    </row>
    <row r="278" spans="3:8" x14ac:dyDescent="0.35">
      <c r="C278" s="7">
        <v>45931</v>
      </c>
      <c r="D278" s="6">
        <f t="shared" si="61"/>
        <v>1</v>
      </c>
      <c r="E278" s="6">
        <f t="shared" si="62"/>
        <v>10</v>
      </c>
      <c r="F278" s="6" t="str">
        <f t="shared" si="60"/>
        <v>Oct</v>
      </c>
      <c r="G278" s="7" t="str">
        <f t="shared" si="63"/>
        <v>T4</v>
      </c>
      <c r="H278" s="6">
        <f t="shared" si="64"/>
        <v>2025</v>
      </c>
    </row>
    <row r="279" spans="3:8" x14ac:dyDescent="0.35">
      <c r="C279" s="7">
        <v>45932</v>
      </c>
      <c r="D279" s="6">
        <f>DAY(C279)</f>
        <v>2</v>
      </c>
      <c r="E279" s="6">
        <f>MONTH(C279)</f>
        <v>10</v>
      </c>
      <c r="F279" s="6" t="str">
        <f t="shared" si="60"/>
        <v>Oct</v>
      </c>
      <c r="G279" s="7" t="str">
        <f>"T"&amp;INT((MONTH(C279)-1)/3)+1</f>
        <v>T4</v>
      </c>
      <c r="H279" s="6">
        <f>YEAR(C279)</f>
        <v>2025</v>
      </c>
    </row>
    <row r="280" spans="3:8" x14ac:dyDescent="0.35">
      <c r="C280" s="7">
        <v>45933</v>
      </c>
      <c r="D280" s="6">
        <f t="shared" ref="D280:D312" si="65">DAY(C280)</f>
        <v>3</v>
      </c>
      <c r="E280" s="6">
        <f t="shared" ref="E280:E291" si="66">MONTH(C280)</f>
        <v>10</v>
      </c>
      <c r="F280" s="6" t="str">
        <f t="shared" si="60"/>
        <v>Oct</v>
      </c>
      <c r="G280" s="7" t="str">
        <f t="shared" ref="G280:G291" si="67">"T"&amp;INT((MONTH(C280)-1)/3)+1</f>
        <v>T4</v>
      </c>
      <c r="H280" s="6">
        <f t="shared" ref="H280:H291" si="68">YEAR(C280)</f>
        <v>2025</v>
      </c>
    </row>
    <row r="281" spans="3:8" x14ac:dyDescent="0.35">
      <c r="C281" s="7">
        <v>45934</v>
      </c>
      <c r="D281" s="6">
        <f t="shared" si="65"/>
        <v>4</v>
      </c>
      <c r="E281" s="6">
        <f t="shared" si="66"/>
        <v>10</v>
      </c>
      <c r="F281" s="6" t="str">
        <f t="shared" si="60"/>
        <v>Oct</v>
      </c>
      <c r="G281" s="7" t="str">
        <f t="shared" si="67"/>
        <v>T4</v>
      </c>
      <c r="H281" s="6">
        <f t="shared" si="68"/>
        <v>2025</v>
      </c>
    </row>
    <row r="282" spans="3:8" x14ac:dyDescent="0.35">
      <c r="C282" s="7">
        <v>45935</v>
      </c>
      <c r="D282" s="6">
        <f t="shared" si="65"/>
        <v>5</v>
      </c>
      <c r="E282" s="6">
        <f t="shared" si="66"/>
        <v>10</v>
      </c>
      <c r="F282" s="6" t="str">
        <f t="shared" si="60"/>
        <v>Oct</v>
      </c>
      <c r="G282" s="7" t="str">
        <f t="shared" si="67"/>
        <v>T4</v>
      </c>
      <c r="H282" s="6">
        <f t="shared" si="68"/>
        <v>2025</v>
      </c>
    </row>
    <row r="283" spans="3:8" x14ac:dyDescent="0.35">
      <c r="C283" s="7">
        <v>45936</v>
      </c>
      <c r="D283" s="6">
        <f t="shared" si="65"/>
        <v>6</v>
      </c>
      <c r="E283" s="6">
        <f t="shared" si="66"/>
        <v>10</v>
      </c>
      <c r="F283" s="6" t="str">
        <f t="shared" si="60"/>
        <v>Oct</v>
      </c>
      <c r="G283" s="7" t="str">
        <f t="shared" si="67"/>
        <v>T4</v>
      </c>
      <c r="H283" s="6">
        <f t="shared" si="68"/>
        <v>2025</v>
      </c>
    </row>
    <row r="284" spans="3:8" x14ac:dyDescent="0.35">
      <c r="C284" s="7">
        <v>45937</v>
      </c>
      <c r="D284" s="6">
        <f t="shared" si="65"/>
        <v>7</v>
      </c>
      <c r="E284" s="6">
        <f t="shared" si="66"/>
        <v>10</v>
      </c>
      <c r="F284" s="6" t="str">
        <f t="shared" si="60"/>
        <v>Oct</v>
      </c>
      <c r="G284" s="7" t="str">
        <f t="shared" si="67"/>
        <v>T4</v>
      </c>
      <c r="H284" s="6">
        <f t="shared" si="68"/>
        <v>2025</v>
      </c>
    </row>
    <row r="285" spans="3:8" x14ac:dyDescent="0.35">
      <c r="C285" s="7">
        <v>45938</v>
      </c>
      <c r="D285" s="6">
        <f t="shared" si="65"/>
        <v>8</v>
      </c>
      <c r="E285" s="6">
        <f t="shared" si="66"/>
        <v>10</v>
      </c>
      <c r="F285" s="6" t="str">
        <f t="shared" ref="F285:F291" si="69">TEXT(C285, "mmm")</f>
        <v>Oct</v>
      </c>
      <c r="G285" s="7" t="str">
        <f t="shared" si="67"/>
        <v>T4</v>
      </c>
      <c r="H285" s="6">
        <f t="shared" si="68"/>
        <v>2025</v>
      </c>
    </row>
    <row r="286" spans="3:8" x14ac:dyDescent="0.35">
      <c r="C286" s="7">
        <v>45939</v>
      </c>
      <c r="D286" s="6">
        <f t="shared" si="65"/>
        <v>9</v>
      </c>
      <c r="E286" s="6">
        <f t="shared" si="66"/>
        <v>10</v>
      </c>
      <c r="F286" s="6" t="str">
        <f t="shared" si="69"/>
        <v>Oct</v>
      </c>
      <c r="G286" s="7" t="str">
        <f t="shared" si="67"/>
        <v>T4</v>
      </c>
      <c r="H286" s="6">
        <f t="shared" si="68"/>
        <v>2025</v>
      </c>
    </row>
    <row r="287" spans="3:8" x14ac:dyDescent="0.35">
      <c r="C287" s="7">
        <v>45940</v>
      </c>
      <c r="D287" s="6">
        <f t="shared" si="65"/>
        <v>10</v>
      </c>
      <c r="E287" s="6">
        <f t="shared" si="66"/>
        <v>10</v>
      </c>
      <c r="F287" s="6" t="str">
        <f t="shared" si="69"/>
        <v>Oct</v>
      </c>
      <c r="G287" s="7" t="str">
        <f t="shared" si="67"/>
        <v>T4</v>
      </c>
      <c r="H287" s="6">
        <f t="shared" si="68"/>
        <v>2025</v>
      </c>
    </row>
    <row r="288" spans="3:8" x14ac:dyDescent="0.35">
      <c r="C288" s="7">
        <v>45941</v>
      </c>
      <c r="D288" s="6">
        <f t="shared" si="65"/>
        <v>11</v>
      </c>
      <c r="E288" s="6">
        <f t="shared" si="66"/>
        <v>10</v>
      </c>
      <c r="F288" s="6" t="str">
        <f t="shared" si="69"/>
        <v>Oct</v>
      </c>
      <c r="G288" s="7" t="str">
        <f t="shared" si="67"/>
        <v>T4</v>
      </c>
      <c r="H288" s="6">
        <f t="shared" si="68"/>
        <v>2025</v>
      </c>
    </row>
    <row r="289" spans="3:8" x14ac:dyDescent="0.35">
      <c r="C289" s="7">
        <v>45942</v>
      </c>
      <c r="D289" s="6">
        <f t="shared" si="65"/>
        <v>12</v>
      </c>
      <c r="E289" s="6">
        <f t="shared" si="66"/>
        <v>10</v>
      </c>
      <c r="F289" s="6" t="str">
        <f t="shared" si="69"/>
        <v>Oct</v>
      </c>
      <c r="G289" s="7" t="str">
        <f t="shared" si="67"/>
        <v>T4</v>
      </c>
      <c r="H289" s="6">
        <f t="shared" si="68"/>
        <v>2025</v>
      </c>
    </row>
    <row r="290" spans="3:8" x14ac:dyDescent="0.35">
      <c r="C290" s="7">
        <v>45943</v>
      </c>
      <c r="D290" s="6">
        <f t="shared" si="65"/>
        <v>13</v>
      </c>
      <c r="E290" s="6">
        <f t="shared" si="66"/>
        <v>10</v>
      </c>
      <c r="F290" s="6" t="str">
        <f t="shared" si="69"/>
        <v>Oct</v>
      </c>
      <c r="G290" s="7" t="str">
        <f t="shared" si="67"/>
        <v>T4</v>
      </c>
      <c r="H290" s="6">
        <f t="shared" si="68"/>
        <v>2025</v>
      </c>
    </row>
    <row r="291" spans="3:8" x14ac:dyDescent="0.35">
      <c r="C291" s="7">
        <v>45944</v>
      </c>
      <c r="D291" s="6">
        <f t="shared" si="65"/>
        <v>14</v>
      </c>
      <c r="E291" s="6">
        <f t="shared" si="66"/>
        <v>10</v>
      </c>
      <c r="F291" s="6" t="str">
        <f t="shared" si="69"/>
        <v>Oct</v>
      </c>
      <c r="G291" s="7" t="str">
        <f t="shared" si="67"/>
        <v>T4</v>
      </c>
      <c r="H291" s="6">
        <f t="shared" si="68"/>
        <v>2025</v>
      </c>
    </row>
    <row r="292" spans="3:8" x14ac:dyDescent="0.35">
      <c r="C292" s="7">
        <v>45945</v>
      </c>
      <c r="D292" s="6">
        <f>DAY(C292)</f>
        <v>15</v>
      </c>
      <c r="E292" s="6">
        <f>MONTH(C292)</f>
        <v>10</v>
      </c>
      <c r="F292" s="6" t="str">
        <f>TEXT(C292, "mmm")</f>
        <v>Oct</v>
      </c>
      <c r="G292" s="7" t="str">
        <f>"T"&amp;INT((MONTH(C292)-1)/3)+1</f>
        <v>T4</v>
      </c>
      <c r="H292" s="6">
        <f>YEAR(C292)</f>
        <v>2025</v>
      </c>
    </row>
    <row r="293" spans="3:8" x14ac:dyDescent="0.35">
      <c r="C293" s="7">
        <v>45946</v>
      </c>
      <c r="D293" s="6">
        <f t="shared" si="65"/>
        <v>16</v>
      </c>
      <c r="E293" s="6">
        <f t="shared" ref="E293:E312" si="70">MONTH(C293)</f>
        <v>10</v>
      </c>
      <c r="F293" s="6" t="str">
        <f t="shared" ref="F293:F312" si="71">TEXT(C293, "mmm")</f>
        <v>Oct</v>
      </c>
      <c r="G293" s="7" t="str">
        <f t="shared" ref="G293:G312" si="72">"T"&amp;INT((MONTH(C293)-1)/3)+1</f>
        <v>T4</v>
      </c>
      <c r="H293" s="6">
        <f t="shared" ref="H293:H312" si="73">YEAR(C293)</f>
        <v>2025</v>
      </c>
    </row>
    <row r="294" spans="3:8" x14ac:dyDescent="0.35">
      <c r="C294" s="7">
        <v>45947</v>
      </c>
      <c r="D294" s="6">
        <f t="shared" si="65"/>
        <v>17</v>
      </c>
      <c r="E294" s="6">
        <f t="shared" si="70"/>
        <v>10</v>
      </c>
      <c r="F294" s="6" t="str">
        <f t="shared" si="71"/>
        <v>Oct</v>
      </c>
      <c r="G294" s="7" t="str">
        <f t="shared" si="72"/>
        <v>T4</v>
      </c>
      <c r="H294" s="6">
        <f t="shared" si="73"/>
        <v>2025</v>
      </c>
    </row>
    <row r="295" spans="3:8" x14ac:dyDescent="0.35">
      <c r="C295" s="7">
        <v>45948</v>
      </c>
      <c r="D295" s="6">
        <f t="shared" si="65"/>
        <v>18</v>
      </c>
      <c r="E295" s="6">
        <f t="shared" si="70"/>
        <v>10</v>
      </c>
      <c r="F295" s="6" t="str">
        <f t="shared" si="71"/>
        <v>Oct</v>
      </c>
      <c r="G295" s="7" t="str">
        <f t="shared" si="72"/>
        <v>T4</v>
      </c>
      <c r="H295" s="6">
        <f t="shared" si="73"/>
        <v>2025</v>
      </c>
    </row>
    <row r="296" spans="3:8" x14ac:dyDescent="0.35">
      <c r="C296" s="7">
        <v>45949</v>
      </c>
      <c r="D296" s="6">
        <f t="shared" si="65"/>
        <v>19</v>
      </c>
      <c r="E296" s="6">
        <f t="shared" si="70"/>
        <v>10</v>
      </c>
      <c r="F296" s="6" t="str">
        <f t="shared" si="71"/>
        <v>Oct</v>
      </c>
      <c r="G296" s="7" t="str">
        <f t="shared" si="72"/>
        <v>T4</v>
      </c>
      <c r="H296" s="6">
        <f t="shared" si="73"/>
        <v>2025</v>
      </c>
    </row>
    <row r="297" spans="3:8" x14ac:dyDescent="0.35">
      <c r="C297" s="7">
        <v>45950</v>
      </c>
      <c r="D297" s="6">
        <f t="shared" si="65"/>
        <v>20</v>
      </c>
      <c r="E297" s="6">
        <f t="shared" si="70"/>
        <v>10</v>
      </c>
      <c r="F297" s="6" t="str">
        <f t="shared" si="71"/>
        <v>Oct</v>
      </c>
      <c r="G297" s="7" t="str">
        <f t="shared" si="72"/>
        <v>T4</v>
      </c>
      <c r="H297" s="6">
        <f t="shared" si="73"/>
        <v>2025</v>
      </c>
    </row>
    <row r="298" spans="3:8" x14ac:dyDescent="0.35">
      <c r="C298" s="7">
        <v>45951</v>
      </c>
      <c r="D298" s="6">
        <f t="shared" si="65"/>
        <v>21</v>
      </c>
      <c r="E298" s="6">
        <f t="shared" si="70"/>
        <v>10</v>
      </c>
      <c r="F298" s="6" t="str">
        <f t="shared" si="71"/>
        <v>Oct</v>
      </c>
      <c r="G298" s="7" t="str">
        <f t="shared" si="72"/>
        <v>T4</v>
      </c>
      <c r="H298" s="6">
        <f t="shared" si="73"/>
        <v>2025</v>
      </c>
    </row>
    <row r="299" spans="3:8" x14ac:dyDescent="0.35">
      <c r="C299" s="7">
        <v>45952</v>
      </c>
      <c r="D299" s="6">
        <f t="shared" si="65"/>
        <v>22</v>
      </c>
      <c r="E299" s="6">
        <f t="shared" si="70"/>
        <v>10</v>
      </c>
      <c r="F299" s="6" t="str">
        <f t="shared" si="71"/>
        <v>Oct</v>
      </c>
      <c r="G299" s="7" t="str">
        <f t="shared" si="72"/>
        <v>T4</v>
      </c>
      <c r="H299" s="6">
        <f t="shared" si="73"/>
        <v>2025</v>
      </c>
    </row>
    <row r="300" spans="3:8" x14ac:dyDescent="0.35">
      <c r="C300" s="7">
        <v>45953</v>
      </c>
      <c r="D300" s="6">
        <f t="shared" si="65"/>
        <v>23</v>
      </c>
      <c r="E300" s="6">
        <f t="shared" si="70"/>
        <v>10</v>
      </c>
      <c r="F300" s="6" t="str">
        <f t="shared" si="71"/>
        <v>Oct</v>
      </c>
      <c r="G300" s="7" t="str">
        <f t="shared" si="72"/>
        <v>T4</v>
      </c>
      <c r="H300" s="6">
        <f t="shared" si="73"/>
        <v>2025</v>
      </c>
    </row>
    <row r="301" spans="3:8" x14ac:dyDescent="0.35">
      <c r="C301" s="7">
        <v>45954</v>
      </c>
      <c r="D301" s="6">
        <f t="shared" si="65"/>
        <v>24</v>
      </c>
      <c r="E301" s="6">
        <f t="shared" si="70"/>
        <v>10</v>
      </c>
      <c r="F301" s="6" t="str">
        <f t="shared" si="71"/>
        <v>Oct</v>
      </c>
      <c r="G301" s="7" t="str">
        <f t="shared" si="72"/>
        <v>T4</v>
      </c>
      <c r="H301" s="6">
        <f t="shared" si="73"/>
        <v>2025</v>
      </c>
    </row>
    <row r="302" spans="3:8" x14ac:dyDescent="0.35">
      <c r="C302" s="7">
        <v>45955</v>
      </c>
      <c r="D302" s="6">
        <f t="shared" si="65"/>
        <v>25</v>
      </c>
      <c r="E302" s="6">
        <f t="shared" si="70"/>
        <v>10</v>
      </c>
      <c r="F302" s="6" t="str">
        <f t="shared" si="71"/>
        <v>Oct</v>
      </c>
      <c r="G302" s="7" t="str">
        <f t="shared" si="72"/>
        <v>T4</v>
      </c>
      <c r="H302" s="6">
        <f t="shared" si="73"/>
        <v>2025</v>
      </c>
    </row>
    <row r="303" spans="3:8" x14ac:dyDescent="0.35">
      <c r="C303" s="7">
        <v>45956</v>
      </c>
      <c r="D303" s="6">
        <f t="shared" si="65"/>
        <v>26</v>
      </c>
      <c r="E303" s="6">
        <f t="shared" si="70"/>
        <v>10</v>
      </c>
      <c r="F303" s="6" t="str">
        <f t="shared" si="71"/>
        <v>Oct</v>
      </c>
      <c r="G303" s="7" t="str">
        <f t="shared" si="72"/>
        <v>T4</v>
      </c>
      <c r="H303" s="6">
        <f t="shared" si="73"/>
        <v>2025</v>
      </c>
    </row>
    <row r="304" spans="3:8" x14ac:dyDescent="0.35">
      <c r="C304" s="7">
        <v>45957</v>
      </c>
      <c r="D304" s="6">
        <f t="shared" si="65"/>
        <v>27</v>
      </c>
      <c r="E304" s="6">
        <f t="shared" si="70"/>
        <v>10</v>
      </c>
      <c r="F304" s="6" t="str">
        <f t="shared" si="71"/>
        <v>Oct</v>
      </c>
      <c r="G304" s="7" t="str">
        <f t="shared" si="72"/>
        <v>T4</v>
      </c>
      <c r="H304" s="6">
        <f t="shared" si="73"/>
        <v>2025</v>
      </c>
    </row>
    <row r="305" spans="3:8" x14ac:dyDescent="0.35">
      <c r="C305" s="7">
        <v>45958</v>
      </c>
      <c r="D305" s="6">
        <f t="shared" si="65"/>
        <v>28</v>
      </c>
      <c r="E305" s="6">
        <f t="shared" si="70"/>
        <v>10</v>
      </c>
      <c r="F305" s="6" t="str">
        <f t="shared" si="71"/>
        <v>Oct</v>
      </c>
      <c r="G305" s="7" t="str">
        <f t="shared" si="72"/>
        <v>T4</v>
      </c>
      <c r="H305" s="6">
        <f t="shared" si="73"/>
        <v>2025</v>
      </c>
    </row>
    <row r="306" spans="3:8" x14ac:dyDescent="0.35">
      <c r="C306" s="7">
        <v>45959</v>
      </c>
      <c r="D306" s="6">
        <f t="shared" si="65"/>
        <v>29</v>
      </c>
      <c r="E306" s="6">
        <f t="shared" si="70"/>
        <v>10</v>
      </c>
      <c r="F306" s="6" t="str">
        <f t="shared" si="71"/>
        <v>Oct</v>
      </c>
      <c r="G306" s="7" t="str">
        <f t="shared" si="72"/>
        <v>T4</v>
      </c>
      <c r="H306" s="6">
        <f t="shared" si="73"/>
        <v>2025</v>
      </c>
    </row>
    <row r="307" spans="3:8" x14ac:dyDescent="0.35">
      <c r="C307" s="7">
        <v>45960</v>
      </c>
      <c r="D307" s="6">
        <f t="shared" si="65"/>
        <v>30</v>
      </c>
      <c r="E307" s="6">
        <f t="shared" si="70"/>
        <v>10</v>
      </c>
      <c r="F307" s="6" t="str">
        <f t="shared" si="71"/>
        <v>Oct</v>
      </c>
      <c r="G307" s="7" t="str">
        <f t="shared" si="72"/>
        <v>T4</v>
      </c>
      <c r="H307" s="6">
        <f t="shared" si="73"/>
        <v>2025</v>
      </c>
    </row>
    <row r="308" spans="3:8" x14ac:dyDescent="0.35">
      <c r="C308" s="7">
        <v>45961</v>
      </c>
      <c r="D308" s="6">
        <f t="shared" si="65"/>
        <v>31</v>
      </c>
      <c r="E308" s="6">
        <f t="shared" si="70"/>
        <v>10</v>
      </c>
      <c r="F308" s="6" t="str">
        <f t="shared" si="71"/>
        <v>Oct</v>
      </c>
      <c r="G308" s="7" t="str">
        <f t="shared" si="72"/>
        <v>T4</v>
      </c>
      <c r="H308" s="6">
        <f t="shared" si="73"/>
        <v>2025</v>
      </c>
    </row>
    <row r="309" spans="3:8" x14ac:dyDescent="0.35">
      <c r="C309" s="7">
        <v>45962</v>
      </c>
      <c r="D309" s="6">
        <f t="shared" si="65"/>
        <v>1</v>
      </c>
      <c r="E309" s="6">
        <f t="shared" si="70"/>
        <v>11</v>
      </c>
      <c r="F309" s="6" t="str">
        <f t="shared" si="71"/>
        <v>Nov</v>
      </c>
      <c r="G309" s="7" t="str">
        <f t="shared" si="72"/>
        <v>T4</v>
      </c>
      <c r="H309" s="6">
        <f t="shared" si="73"/>
        <v>2025</v>
      </c>
    </row>
    <row r="310" spans="3:8" x14ac:dyDescent="0.35">
      <c r="C310" s="7">
        <v>45963</v>
      </c>
      <c r="D310" s="6">
        <f t="shared" si="65"/>
        <v>2</v>
      </c>
      <c r="E310" s="6">
        <f t="shared" si="70"/>
        <v>11</v>
      </c>
      <c r="F310" s="6" t="str">
        <f t="shared" si="71"/>
        <v>Nov</v>
      </c>
      <c r="G310" s="7" t="str">
        <f t="shared" si="72"/>
        <v>T4</v>
      </c>
      <c r="H310" s="6">
        <f t="shared" si="73"/>
        <v>2025</v>
      </c>
    </row>
    <row r="311" spans="3:8" x14ac:dyDescent="0.35">
      <c r="C311" s="7">
        <v>45964</v>
      </c>
      <c r="D311" s="6">
        <f t="shared" si="65"/>
        <v>3</v>
      </c>
      <c r="E311" s="6">
        <f t="shared" si="70"/>
        <v>11</v>
      </c>
      <c r="F311" s="6" t="str">
        <f t="shared" si="71"/>
        <v>Nov</v>
      </c>
      <c r="G311" s="7" t="str">
        <f t="shared" si="72"/>
        <v>T4</v>
      </c>
      <c r="H311" s="6">
        <f t="shared" si="73"/>
        <v>2025</v>
      </c>
    </row>
    <row r="312" spans="3:8" x14ac:dyDescent="0.35">
      <c r="C312" s="7">
        <v>45965</v>
      </c>
      <c r="D312" s="6">
        <f t="shared" si="65"/>
        <v>4</v>
      </c>
      <c r="E312" s="6">
        <f t="shared" si="70"/>
        <v>11</v>
      </c>
      <c r="F312" s="6" t="str">
        <f t="shared" si="71"/>
        <v>Nov</v>
      </c>
      <c r="G312" s="7" t="str">
        <f t="shared" si="72"/>
        <v>T4</v>
      </c>
      <c r="H312" s="6">
        <f t="shared" si="73"/>
        <v>2025</v>
      </c>
    </row>
    <row r="313" spans="3:8" x14ac:dyDescent="0.35">
      <c r="C313" s="7">
        <v>45966</v>
      </c>
      <c r="D313" s="6">
        <f>DAY(C313)</f>
        <v>5</v>
      </c>
      <c r="E313" s="6">
        <f>MONTH(C313)</f>
        <v>11</v>
      </c>
      <c r="F313" s="6" t="str">
        <f t="shared" ref="F313:F347" si="74">TEXT(C313, "mmm")</f>
        <v>Nov</v>
      </c>
      <c r="G313" s="7" t="str">
        <f>"T"&amp;INT((MONTH(C313)-1)/3)+1</f>
        <v>T4</v>
      </c>
      <c r="H313" s="6">
        <f>YEAR(C313)</f>
        <v>2025</v>
      </c>
    </row>
    <row r="314" spans="3:8" x14ac:dyDescent="0.35">
      <c r="C314" s="7">
        <v>45967</v>
      </c>
      <c r="D314" s="6">
        <f t="shared" ref="D314:D320" si="75">DAY(C314)</f>
        <v>6</v>
      </c>
      <c r="E314" s="6">
        <f t="shared" ref="E314:E320" si="76">MONTH(C314)</f>
        <v>11</v>
      </c>
      <c r="F314" s="6" t="str">
        <f t="shared" si="74"/>
        <v>Nov</v>
      </c>
      <c r="G314" s="7" t="str">
        <f t="shared" ref="G314:G320" si="77">"T"&amp;INT((MONTH(C314)-1)/3)+1</f>
        <v>T4</v>
      </c>
      <c r="H314" s="6">
        <f t="shared" ref="H314:H320" si="78">YEAR(C314)</f>
        <v>2025</v>
      </c>
    </row>
    <row r="315" spans="3:8" x14ac:dyDescent="0.35">
      <c r="C315" s="7">
        <v>45968</v>
      </c>
      <c r="D315" s="6">
        <f t="shared" si="75"/>
        <v>7</v>
      </c>
      <c r="E315" s="6">
        <f t="shared" si="76"/>
        <v>11</v>
      </c>
      <c r="F315" s="6" t="str">
        <f t="shared" si="74"/>
        <v>Nov</v>
      </c>
      <c r="G315" s="7" t="str">
        <f t="shared" si="77"/>
        <v>T4</v>
      </c>
      <c r="H315" s="6">
        <f t="shared" si="78"/>
        <v>2025</v>
      </c>
    </row>
    <row r="316" spans="3:8" x14ac:dyDescent="0.35">
      <c r="C316" s="7">
        <v>45969</v>
      </c>
      <c r="D316" s="6">
        <f t="shared" si="75"/>
        <v>8</v>
      </c>
      <c r="E316" s="6">
        <f t="shared" si="76"/>
        <v>11</v>
      </c>
      <c r="F316" s="6" t="str">
        <f t="shared" si="74"/>
        <v>Nov</v>
      </c>
      <c r="G316" s="7" t="str">
        <f t="shared" si="77"/>
        <v>T4</v>
      </c>
      <c r="H316" s="6">
        <f t="shared" si="78"/>
        <v>2025</v>
      </c>
    </row>
    <row r="317" spans="3:8" x14ac:dyDescent="0.35">
      <c r="C317" s="7">
        <v>45970</v>
      </c>
      <c r="D317" s="6">
        <f t="shared" si="75"/>
        <v>9</v>
      </c>
      <c r="E317" s="6">
        <f t="shared" si="76"/>
        <v>11</v>
      </c>
      <c r="F317" s="6" t="str">
        <f t="shared" si="74"/>
        <v>Nov</v>
      </c>
      <c r="G317" s="7" t="str">
        <f t="shared" si="77"/>
        <v>T4</v>
      </c>
      <c r="H317" s="6">
        <f t="shared" si="78"/>
        <v>2025</v>
      </c>
    </row>
    <row r="318" spans="3:8" x14ac:dyDescent="0.35">
      <c r="C318" s="7">
        <v>45971</v>
      </c>
      <c r="D318" s="6">
        <f t="shared" si="75"/>
        <v>10</v>
      </c>
      <c r="E318" s="6">
        <f t="shared" si="76"/>
        <v>11</v>
      </c>
      <c r="F318" s="6" t="str">
        <f t="shared" si="74"/>
        <v>Nov</v>
      </c>
      <c r="G318" s="7" t="str">
        <f t="shared" si="77"/>
        <v>T4</v>
      </c>
      <c r="H318" s="6">
        <f t="shared" si="78"/>
        <v>2025</v>
      </c>
    </row>
    <row r="319" spans="3:8" x14ac:dyDescent="0.35">
      <c r="C319" s="7">
        <v>45972</v>
      </c>
      <c r="D319" s="6">
        <f t="shared" si="75"/>
        <v>11</v>
      </c>
      <c r="E319" s="6">
        <f t="shared" si="76"/>
        <v>11</v>
      </c>
      <c r="F319" s="6" t="str">
        <f t="shared" si="74"/>
        <v>Nov</v>
      </c>
      <c r="G319" s="7" t="str">
        <f t="shared" si="77"/>
        <v>T4</v>
      </c>
      <c r="H319" s="6">
        <f t="shared" si="78"/>
        <v>2025</v>
      </c>
    </row>
    <row r="320" spans="3:8" x14ac:dyDescent="0.35">
      <c r="C320" s="7">
        <v>45973</v>
      </c>
      <c r="D320" s="6">
        <f t="shared" si="75"/>
        <v>12</v>
      </c>
      <c r="E320" s="6">
        <f t="shared" si="76"/>
        <v>11</v>
      </c>
      <c r="F320" s="6" t="str">
        <f t="shared" si="74"/>
        <v>Nov</v>
      </c>
      <c r="G320" s="7" t="str">
        <f t="shared" si="77"/>
        <v>T4</v>
      </c>
      <c r="H320" s="6">
        <f t="shared" si="78"/>
        <v>2025</v>
      </c>
    </row>
    <row r="321" spans="3:8" x14ac:dyDescent="0.35">
      <c r="C321" s="7">
        <v>45974</v>
      </c>
      <c r="D321" s="6">
        <f>DAY(C321)</f>
        <v>13</v>
      </c>
      <c r="E321" s="6">
        <f>MONTH(C321)</f>
        <v>11</v>
      </c>
      <c r="F321" s="6" t="str">
        <f t="shared" si="74"/>
        <v>Nov</v>
      </c>
      <c r="G321" s="7" t="str">
        <f>"T"&amp;INT((MONTH(C321)-1)/3)+1</f>
        <v>T4</v>
      </c>
      <c r="H321" s="6">
        <f>YEAR(C321)</f>
        <v>2025</v>
      </c>
    </row>
    <row r="322" spans="3:8" x14ac:dyDescent="0.35">
      <c r="C322" s="7">
        <v>45975</v>
      </c>
      <c r="D322" s="6">
        <f t="shared" ref="D322:D328" si="79">DAY(C322)</f>
        <v>14</v>
      </c>
      <c r="E322" s="6">
        <f t="shared" ref="E322:E328" si="80">MONTH(C322)</f>
        <v>11</v>
      </c>
      <c r="F322" s="6" t="str">
        <f t="shared" si="74"/>
        <v>Nov</v>
      </c>
      <c r="G322" s="7" t="str">
        <f t="shared" ref="G322:G328" si="81">"T"&amp;INT((MONTH(C322)-1)/3)+1</f>
        <v>T4</v>
      </c>
      <c r="H322" s="6">
        <f t="shared" ref="H322:H328" si="82">YEAR(C322)</f>
        <v>2025</v>
      </c>
    </row>
    <row r="323" spans="3:8" x14ac:dyDescent="0.35">
      <c r="C323" s="7">
        <v>45976</v>
      </c>
      <c r="D323" s="6">
        <f t="shared" si="79"/>
        <v>15</v>
      </c>
      <c r="E323" s="6">
        <f t="shared" si="80"/>
        <v>11</v>
      </c>
      <c r="F323" s="6" t="str">
        <f t="shared" si="74"/>
        <v>Nov</v>
      </c>
      <c r="G323" s="7" t="str">
        <f t="shared" si="81"/>
        <v>T4</v>
      </c>
      <c r="H323" s="6">
        <f t="shared" si="82"/>
        <v>2025</v>
      </c>
    </row>
    <row r="324" spans="3:8" x14ac:dyDescent="0.35">
      <c r="C324" s="7">
        <v>45977</v>
      </c>
      <c r="D324" s="6">
        <f t="shared" si="79"/>
        <v>16</v>
      </c>
      <c r="E324" s="6">
        <f t="shared" si="80"/>
        <v>11</v>
      </c>
      <c r="F324" s="6" t="str">
        <f t="shared" si="74"/>
        <v>Nov</v>
      </c>
      <c r="G324" s="7" t="str">
        <f t="shared" si="81"/>
        <v>T4</v>
      </c>
      <c r="H324" s="6">
        <f t="shared" si="82"/>
        <v>2025</v>
      </c>
    </row>
    <row r="325" spans="3:8" x14ac:dyDescent="0.35">
      <c r="C325" s="7">
        <v>45978</v>
      </c>
      <c r="D325" s="6">
        <f t="shared" si="79"/>
        <v>17</v>
      </c>
      <c r="E325" s="6">
        <f t="shared" si="80"/>
        <v>11</v>
      </c>
      <c r="F325" s="6" t="str">
        <f t="shared" si="74"/>
        <v>Nov</v>
      </c>
      <c r="G325" s="7" t="str">
        <f t="shared" si="81"/>
        <v>T4</v>
      </c>
      <c r="H325" s="6">
        <f t="shared" si="82"/>
        <v>2025</v>
      </c>
    </row>
    <row r="326" spans="3:8" x14ac:dyDescent="0.35">
      <c r="C326" s="7">
        <v>45979</v>
      </c>
      <c r="D326" s="6">
        <f t="shared" si="79"/>
        <v>18</v>
      </c>
      <c r="E326" s="6">
        <f t="shared" si="80"/>
        <v>11</v>
      </c>
      <c r="F326" s="6" t="str">
        <f t="shared" si="74"/>
        <v>Nov</v>
      </c>
      <c r="G326" s="7" t="str">
        <f t="shared" si="81"/>
        <v>T4</v>
      </c>
      <c r="H326" s="6">
        <f t="shared" si="82"/>
        <v>2025</v>
      </c>
    </row>
    <row r="327" spans="3:8" x14ac:dyDescent="0.35">
      <c r="C327" s="7">
        <v>45980</v>
      </c>
      <c r="D327" s="6">
        <f t="shared" si="79"/>
        <v>19</v>
      </c>
      <c r="E327" s="6">
        <f t="shared" si="80"/>
        <v>11</v>
      </c>
      <c r="F327" s="6" t="str">
        <f t="shared" si="74"/>
        <v>Nov</v>
      </c>
      <c r="G327" s="7" t="str">
        <f t="shared" si="81"/>
        <v>T4</v>
      </c>
      <c r="H327" s="6">
        <f t="shared" si="82"/>
        <v>2025</v>
      </c>
    </row>
    <row r="328" spans="3:8" x14ac:dyDescent="0.35">
      <c r="C328" s="7">
        <v>45981</v>
      </c>
      <c r="D328" s="6">
        <f t="shared" si="79"/>
        <v>20</v>
      </c>
      <c r="E328" s="6">
        <f t="shared" si="80"/>
        <v>11</v>
      </c>
      <c r="F328" s="6" t="str">
        <f t="shared" si="74"/>
        <v>Nov</v>
      </c>
      <c r="G328" s="7" t="str">
        <f t="shared" si="81"/>
        <v>T4</v>
      </c>
      <c r="H328" s="6">
        <f t="shared" si="82"/>
        <v>2025</v>
      </c>
    </row>
    <row r="329" spans="3:8" x14ac:dyDescent="0.35">
      <c r="C329" s="7">
        <v>45982</v>
      </c>
      <c r="D329" s="6">
        <f t="shared" ref="D329:D335" si="83">DAY(C329)</f>
        <v>21</v>
      </c>
      <c r="E329" s="6">
        <f t="shared" ref="E329:E335" si="84">MONTH(C329)</f>
        <v>11</v>
      </c>
      <c r="F329" s="6" t="str">
        <f t="shared" si="74"/>
        <v>Nov</v>
      </c>
      <c r="G329" s="7" t="str">
        <f t="shared" ref="G329:G335" si="85">"T"&amp;INT((MONTH(C329)-1)/3)+1</f>
        <v>T4</v>
      </c>
      <c r="H329" s="6">
        <f t="shared" ref="H329:H335" si="86">YEAR(C329)</f>
        <v>2025</v>
      </c>
    </row>
    <row r="330" spans="3:8" x14ac:dyDescent="0.35">
      <c r="C330" s="7">
        <v>45983</v>
      </c>
      <c r="D330" s="6">
        <f t="shared" si="83"/>
        <v>22</v>
      </c>
      <c r="E330" s="6">
        <f t="shared" si="84"/>
        <v>11</v>
      </c>
      <c r="F330" s="6" t="str">
        <f t="shared" si="74"/>
        <v>Nov</v>
      </c>
      <c r="G330" s="7" t="str">
        <f t="shared" si="85"/>
        <v>T4</v>
      </c>
      <c r="H330" s="6">
        <f t="shared" si="86"/>
        <v>2025</v>
      </c>
    </row>
    <row r="331" spans="3:8" x14ac:dyDescent="0.35">
      <c r="C331" s="7">
        <v>45984</v>
      </c>
      <c r="D331" s="6">
        <f t="shared" si="83"/>
        <v>23</v>
      </c>
      <c r="E331" s="6">
        <f t="shared" si="84"/>
        <v>11</v>
      </c>
      <c r="F331" s="6" t="str">
        <f t="shared" si="74"/>
        <v>Nov</v>
      </c>
      <c r="G331" s="7" t="str">
        <f t="shared" si="85"/>
        <v>T4</v>
      </c>
      <c r="H331" s="6">
        <f t="shared" si="86"/>
        <v>2025</v>
      </c>
    </row>
    <row r="332" spans="3:8" x14ac:dyDescent="0.35">
      <c r="C332" s="7">
        <v>45985</v>
      </c>
      <c r="D332" s="6">
        <f t="shared" si="83"/>
        <v>24</v>
      </c>
      <c r="E332" s="6">
        <f t="shared" si="84"/>
        <v>11</v>
      </c>
      <c r="F332" s="6" t="str">
        <f t="shared" si="74"/>
        <v>Nov</v>
      </c>
      <c r="G332" s="7" t="str">
        <f t="shared" si="85"/>
        <v>T4</v>
      </c>
      <c r="H332" s="6">
        <f t="shared" si="86"/>
        <v>2025</v>
      </c>
    </row>
    <row r="333" spans="3:8" x14ac:dyDescent="0.35">
      <c r="C333" s="7">
        <v>45986</v>
      </c>
      <c r="D333" s="6">
        <f t="shared" si="83"/>
        <v>25</v>
      </c>
      <c r="E333" s="6">
        <f t="shared" si="84"/>
        <v>11</v>
      </c>
      <c r="F333" s="6" t="str">
        <f t="shared" si="74"/>
        <v>Nov</v>
      </c>
      <c r="G333" s="7" t="str">
        <f t="shared" si="85"/>
        <v>T4</v>
      </c>
      <c r="H333" s="6">
        <f t="shared" si="86"/>
        <v>2025</v>
      </c>
    </row>
    <row r="334" spans="3:8" x14ac:dyDescent="0.35">
      <c r="C334" s="7">
        <v>45987</v>
      </c>
      <c r="D334" s="6">
        <f t="shared" si="83"/>
        <v>26</v>
      </c>
      <c r="E334" s="6">
        <f t="shared" si="84"/>
        <v>11</v>
      </c>
      <c r="F334" s="6" t="str">
        <f t="shared" si="74"/>
        <v>Nov</v>
      </c>
      <c r="G334" s="7" t="str">
        <f t="shared" si="85"/>
        <v>T4</v>
      </c>
      <c r="H334" s="6">
        <f t="shared" si="86"/>
        <v>2025</v>
      </c>
    </row>
    <row r="335" spans="3:8" x14ac:dyDescent="0.35">
      <c r="C335" s="7">
        <v>45988</v>
      </c>
      <c r="D335" s="6">
        <f t="shared" si="83"/>
        <v>27</v>
      </c>
      <c r="E335" s="6">
        <f t="shared" si="84"/>
        <v>11</v>
      </c>
      <c r="F335" s="6" t="str">
        <f t="shared" si="74"/>
        <v>Nov</v>
      </c>
      <c r="G335" s="7" t="str">
        <f t="shared" si="85"/>
        <v>T4</v>
      </c>
      <c r="H335" s="6">
        <f t="shared" si="86"/>
        <v>2025</v>
      </c>
    </row>
    <row r="336" spans="3:8" x14ac:dyDescent="0.35">
      <c r="C336" s="7">
        <v>45989</v>
      </c>
      <c r="D336" s="6">
        <f t="shared" ref="D336:D341" si="87">DAY(C336)</f>
        <v>28</v>
      </c>
      <c r="E336" s="6">
        <f t="shared" ref="E336:E341" si="88">MONTH(C336)</f>
        <v>11</v>
      </c>
      <c r="F336" s="6" t="str">
        <f t="shared" si="74"/>
        <v>Nov</v>
      </c>
      <c r="G336" s="7" t="str">
        <f t="shared" ref="G336:G341" si="89">"T"&amp;INT((MONTH(C336)-1)/3)+1</f>
        <v>T4</v>
      </c>
      <c r="H336" s="6">
        <f t="shared" ref="H336:H341" si="90">YEAR(C336)</f>
        <v>2025</v>
      </c>
    </row>
    <row r="337" spans="3:8" x14ac:dyDescent="0.35">
      <c r="C337" s="7">
        <v>45990</v>
      </c>
      <c r="D337" s="6">
        <f t="shared" si="87"/>
        <v>29</v>
      </c>
      <c r="E337" s="6">
        <f t="shared" si="88"/>
        <v>11</v>
      </c>
      <c r="F337" s="6" t="str">
        <f t="shared" si="74"/>
        <v>Nov</v>
      </c>
      <c r="G337" s="7" t="str">
        <f t="shared" si="89"/>
        <v>T4</v>
      </c>
      <c r="H337" s="6">
        <f t="shared" si="90"/>
        <v>2025</v>
      </c>
    </row>
    <row r="338" spans="3:8" x14ac:dyDescent="0.35">
      <c r="C338" s="7">
        <v>45991</v>
      </c>
      <c r="D338" s="6">
        <f t="shared" si="87"/>
        <v>30</v>
      </c>
      <c r="E338" s="6">
        <f t="shared" si="88"/>
        <v>11</v>
      </c>
      <c r="F338" s="6" t="str">
        <f t="shared" si="74"/>
        <v>Nov</v>
      </c>
      <c r="G338" s="7" t="str">
        <f t="shared" si="89"/>
        <v>T4</v>
      </c>
      <c r="H338" s="6">
        <f t="shared" si="90"/>
        <v>2025</v>
      </c>
    </row>
    <row r="339" spans="3:8" x14ac:dyDescent="0.35">
      <c r="C339" s="7">
        <v>45992</v>
      </c>
      <c r="D339" s="6">
        <f t="shared" si="87"/>
        <v>1</v>
      </c>
      <c r="E339" s="6">
        <f t="shared" si="88"/>
        <v>12</v>
      </c>
      <c r="F339" s="6" t="str">
        <f t="shared" si="74"/>
        <v>Dec</v>
      </c>
      <c r="G339" s="7" t="str">
        <f t="shared" si="89"/>
        <v>T4</v>
      </c>
      <c r="H339" s="6">
        <f t="shared" si="90"/>
        <v>2025</v>
      </c>
    </row>
    <row r="340" spans="3:8" x14ac:dyDescent="0.35">
      <c r="C340" s="7">
        <v>45993</v>
      </c>
      <c r="D340" s="6">
        <f t="shared" si="87"/>
        <v>2</v>
      </c>
      <c r="E340" s="6">
        <f t="shared" si="88"/>
        <v>12</v>
      </c>
      <c r="F340" s="6" t="str">
        <f t="shared" si="74"/>
        <v>Dec</v>
      </c>
      <c r="G340" s="7" t="str">
        <f t="shared" si="89"/>
        <v>T4</v>
      </c>
      <c r="H340" s="6">
        <f t="shared" si="90"/>
        <v>2025</v>
      </c>
    </row>
    <row r="341" spans="3:8" x14ac:dyDescent="0.35">
      <c r="C341" s="7">
        <v>45994</v>
      </c>
      <c r="D341" s="6">
        <f t="shared" si="87"/>
        <v>3</v>
      </c>
      <c r="E341" s="6">
        <f t="shared" si="88"/>
        <v>12</v>
      </c>
      <c r="F341" s="6" t="str">
        <f t="shared" si="74"/>
        <v>Dec</v>
      </c>
      <c r="G341" s="7" t="str">
        <f t="shared" si="89"/>
        <v>T4</v>
      </c>
      <c r="H341" s="6">
        <f t="shared" si="90"/>
        <v>2025</v>
      </c>
    </row>
    <row r="342" spans="3:8" x14ac:dyDescent="0.35">
      <c r="C342" s="7">
        <v>45995</v>
      </c>
      <c r="D342" s="6">
        <f>DAY(C342)</f>
        <v>4</v>
      </c>
      <c r="E342" s="6">
        <f>MONTH(C342)</f>
        <v>12</v>
      </c>
      <c r="F342" s="6" t="str">
        <f t="shared" si="74"/>
        <v>Dec</v>
      </c>
      <c r="G342" s="7" t="str">
        <f>"T"&amp;INT((MONTH(C342)-1)/3)+1</f>
        <v>T4</v>
      </c>
      <c r="H342" s="6">
        <f>YEAR(C342)</f>
        <v>2025</v>
      </c>
    </row>
    <row r="343" spans="3:8" x14ac:dyDescent="0.35">
      <c r="C343" s="7">
        <v>45996</v>
      </c>
      <c r="D343" s="6">
        <f t="shared" ref="D343:D366" si="91">DAY(C343)</f>
        <v>5</v>
      </c>
      <c r="E343" s="6">
        <f t="shared" ref="E343:E354" si="92">MONTH(C343)</f>
        <v>12</v>
      </c>
      <c r="F343" s="6" t="str">
        <f t="shared" si="74"/>
        <v>Dec</v>
      </c>
      <c r="G343" s="7" t="str">
        <f t="shared" ref="G343:G354" si="93">"T"&amp;INT((MONTH(C343)-1)/3)+1</f>
        <v>T4</v>
      </c>
      <c r="H343" s="6">
        <f t="shared" ref="H343:H354" si="94">YEAR(C343)</f>
        <v>2025</v>
      </c>
    </row>
    <row r="344" spans="3:8" x14ac:dyDescent="0.35">
      <c r="C344" s="7">
        <v>45997</v>
      </c>
      <c r="D344" s="6">
        <f t="shared" si="91"/>
        <v>6</v>
      </c>
      <c r="E344" s="6">
        <f t="shared" si="92"/>
        <v>12</v>
      </c>
      <c r="F344" s="6" t="str">
        <f t="shared" si="74"/>
        <v>Dec</v>
      </c>
      <c r="G344" s="7" t="str">
        <f t="shared" si="93"/>
        <v>T4</v>
      </c>
      <c r="H344" s="6">
        <f t="shared" si="94"/>
        <v>2025</v>
      </c>
    </row>
    <row r="345" spans="3:8" x14ac:dyDescent="0.35">
      <c r="C345" s="7">
        <v>45998</v>
      </c>
      <c r="D345" s="6">
        <f t="shared" si="91"/>
        <v>7</v>
      </c>
      <c r="E345" s="6">
        <f t="shared" si="92"/>
        <v>12</v>
      </c>
      <c r="F345" s="6" t="str">
        <f t="shared" si="74"/>
        <v>Dec</v>
      </c>
      <c r="G345" s="7" t="str">
        <f t="shared" si="93"/>
        <v>T4</v>
      </c>
      <c r="H345" s="6">
        <f t="shared" si="94"/>
        <v>2025</v>
      </c>
    </row>
    <row r="346" spans="3:8" x14ac:dyDescent="0.35">
      <c r="C346" s="7">
        <v>45999</v>
      </c>
      <c r="D346" s="6">
        <f t="shared" si="91"/>
        <v>8</v>
      </c>
      <c r="E346" s="6">
        <f t="shared" si="92"/>
        <v>12</v>
      </c>
      <c r="F346" s="6" t="str">
        <f t="shared" si="74"/>
        <v>Dec</v>
      </c>
      <c r="G346" s="7" t="str">
        <f t="shared" si="93"/>
        <v>T4</v>
      </c>
      <c r="H346" s="6">
        <f t="shared" si="94"/>
        <v>2025</v>
      </c>
    </row>
    <row r="347" spans="3:8" x14ac:dyDescent="0.35">
      <c r="C347" s="7">
        <v>46000</v>
      </c>
      <c r="D347" s="6">
        <f t="shared" si="91"/>
        <v>9</v>
      </c>
      <c r="E347" s="6">
        <f t="shared" si="92"/>
        <v>12</v>
      </c>
      <c r="F347" s="6" t="str">
        <f t="shared" si="74"/>
        <v>Dec</v>
      </c>
      <c r="G347" s="7" t="str">
        <f t="shared" si="93"/>
        <v>T4</v>
      </c>
      <c r="H347" s="6">
        <f t="shared" si="94"/>
        <v>2025</v>
      </c>
    </row>
    <row r="348" spans="3:8" x14ac:dyDescent="0.35">
      <c r="C348" s="7">
        <v>46001</v>
      </c>
      <c r="D348" s="6">
        <f t="shared" si="91"/>
        <v>10</v>
      </c>
      <c r="E348" s="6">
        <f t="shared" si="92"/>
        <v>12</v>
      </c>
      <c r="F348" s="6" t="str">
        <f t="shared" ref="F348:F354" si="95">TEXT(C348, "mmm")</f>
        <v>Dec</v>
      </c>
      <c r="G348" s="7" t="str">
        <f t="shared" si="93"/>
        <v>T4</v>
      </c>
      <c r="H348" s="6">
        <f t="shared" si="94"/>
        <v>2025</v>
      </c>
    </row>
    <row r="349" spans="3:8" x14ac:dyDescent="0.35">
      <c r="C349" s="7">
        <v>46002</v>
      </c>
      <c r="D349" s="6">
        <f t="shared" si="91"/>
        <v>11</v>
      </c>
      <c r="E349" s="6">
        <f t="shared" si="92"/>
        <v>12</v>
      </c>
      <c r="F349" s="6" t="str">
        <f t="shared" si="95"/>
        <v>Dec</v>
      </c>
      <c r="G349" s="7" t="str">
        <f t="shared" si="93"/>
        <v>T4</v>
      </c>
      <c r="H349" s="6">
        <f t="shared" si="94"/>
        <v>2025</v>
      </c>
    </row>
    <row r="350" spans="3:8" x14ac:dyDescent="0.35">
      <c r="C350" s="7">
        <v>46003</v>
      </c>
      <c r="D350" s="6">
        <f t="shared" si="91"/>
        <v>12</v>
      </c>
      <c r="E350" s="6">
        <f t="shared" si="92"/>
        <v>12</v>
      </c>
      <c r="F350" s="6" t="str">
        <f t="shared" si="95"/>
        <v>Dec</v>
      </c>
      <c r="G350" s="7" t="str">
        <f t="shared" si="93"/>
        <v>T4</v>
      </c>
      <c r="H350" s="6">
        <f t="shared" si="94"/>
        <v>2025</v>
      </c>
    </row>
    <row r="351" spans="3:8" x14ac:dyDescent="0.35">
      <c r="C351" s="7">
        <v>46004</v>
      </c>
      <c r="D351" s="6">
        <f t="shared" si="91"/>
        <v>13</v>
      </c>
      <c r="E351" s="6">
        <f t="shared" si="92"/>
        <v>12</v>
      </c>
      <c r="F351" s="6" t="str">
        <f t="shared" si="95"/>
        <v>Dec</v>
      </c>
      <c r="G351" s="7" t="str">
        <f t="shared" si="93"/>
        <v>T4</v>
      </c>
      <c r="H351" s="6">
        <f t="shared" si="94"/>
        <v>2025</v>
      </c>
    </row>
    <row r="352" spans="3:8" x14ac:dyDescent="0.35">
      <c r="C352" s="7">
        <v>46005</v>
      </c>
      <c r="D352" s="6">
        <f t="shared" si="91"/>
        <v>14</v>
      </c>
      <c r="E352" s="6">
        <f t="shared" si="92"/>
        <v>12</v>
      </c>
      <c r="F352" s="6" t="str">
        <f t="shared" si="95"/>
        <v>Dec</v>
      </c>
      <c r="G352" s="7" t="str">
        <f t="shared" si="93"/>
        <v>T4</v>
      </c>
      <c r="H352" s="6">
        <f t="shared" si="94"/>
        <v>2025</v>
      </c>
    </row>
    <row r="353" spans="3:8" x14ac:dyDescent="0.35">
      <c r="C353" s="7">
        <v>46006</v>
      </c>
      <c r="D353" s="6">
        <f t="shared" si="91"/>
        <v>15</v>
      </c>
      <c r="E353" s="6">
        <f t="shared" si="92"/>
        <v>12</v>
      </c>
      <c r="F353" s="6" t="str">
        <f t="shared" si="95"/>
        <v>Dec</v>
      </c>
      <c r="G353" s="7" t="str">
        <f t="shared" si="93"/>
        <v>T4</v>
      </c>
      <c r="H353" s="6">
        <f t="shared" si="94"/>
        <v>2025</v>
      </c>
    </row>
    <row r="354" spans="3:8" x14ac:dyDescent="0.35">
      <c r="C354" s="7">
        <v>46007</v>
      </c>
      <c r="D354" s="6">
        <f t="shared" si="91"/>
        <v>16</v>
      </c>
      <c r="E354" s="6">
        <f t="shared" si="92"/>
        <v>12</v>
      </c>
      <c r="F354" s="6" t="str">
        <f t="shared" si="95"/>
        <v>Dec</v>
      </c>
      <c r="G354" s="7" t="str">
        <f t="shared" si="93"/>
        <v>T4</v>
      </c>
      <c r="H354" s="6">
        <f t="shared" si="94"/>
        <v>2025</v>
      </c>
    </row>
    <row r="355" spans="3:8" x14ac:dyDescent="0.35">
      <c r="C355" s="7">
        <v>46008</v>
      </c>
      <c r="D355" s="6">
        <f>DAY(C355)</f>
        <v>17</v>
      </c>
      <c r="E355" s="6">
        <f>MONTH(C355)</f>
        <v>12</v>
      </c>
      <c r="F355" s="6" t="str">
        <f>TEXT(C355, "mmm")</f>
        <v>Dec</v>
      </c>
      <c r="G355" s="7" t="str">
        <f>"T"&amp;INT((MONTH(C355)-1)/3)+1</f>
        <v>T4</v>
      </c>
      <c r="H355" s="6">
        <f>YEAR(C355)</f>
        <v>2025</v>
      </c>
    </row>
    <row r="356" spans="3:8" x14ac:dyDescent="0.35">
      <c r="C356" s="7">
        <v>46009</v>
      </c>
      <c r="D356" s="6">
        <f t="shared" si="91"/>
        <v>18</v>
      </c>
      <c r="E356" s="6">
        <f t="shared" ref="E356:E366" si="96">MONTH(C356)</f>
        <v>12</v>
      </c>
      <c r="F356" s="6" t="str">
        <f t="shared" ref="F356:F366" si="97">TEXT(C356, "mmm")</f>
        <v>Dec</v>
      </c>
      <c r="G356" s="7" t="str">
        <f t="shared" ref="G356:G366" si="98">"T"&amp;INT((MONTH(C356)-1)/3)+1</f>
        <v>T4</v>
      </c>
      <c r="H356" s="6">
        <f t="shared" ref="H356:H366" si="99">YEAR(C356)</f>
        <v>2025</v>
      </c>
    </row>
    <row r="357" spans="3:8" x14ac:dyDescent="0.35">
      <c r="C357" s="7">
        <v>46010</v>
      </c>
      <c r="D357" s="6">
        <f t="shared" si="91"/>
        <v>19</v>
      </c>
      <c r="E357" s="6">
        <f t="shared" si="96"/>
        <v>12</v>
      </c>
      <c r="F357" s="6" t="str">
        <f t="shared" si="97"/>
        <v>Dec</v>
      </c>
      <c r="G357" s="7" t="str">
        <f t="shared" si="98"/>
        <v>T4</v>
      </c>
      <c r="H357" s="6">
        <f t="shared" si="99"/>
        <v>2025</v>
      </c>
    </row>
    <row r="358" spans="3:8" x14ac:dyDescent="0.35">
      <c r="C358" s="7">
        <v>46011</v>
      </c>
      <c r="D358" s="6">
        <f t="shared" si="91"/>
        <v>20</v>
      </c>
      <c r="E358" s="6">
        <f t="shared" si="96"/>
        <v>12</v>
      </c>
      <c r="F358" s="6" t="str">
        <f t="shared" si="97"/>
        <v>Dec</v>
      </c>
      <c r="G358" s="7" t="str">
        <f t="shared" si="98"/>
        <v>T4</v>
      </c>
      <c r="H358" s="6">
        <f t="shared" si="99"/>
        <v>2025</v>
      </c>
    </row>
    <row r="359" spans="3:8" x14ac:dyDescent="0.35">
      <c r="C359" s="7">
        <v>46012</v>
      </c>
      <c r="D359" s="6">
        <f t="shared" si="91"/>
        <v>21</v>
      </c>
      <c r="E359" s="6">
        <f t="shared" si="96"/>
        <v>12</v>
      </c>
      <c r="F359" s="6" t="str">
        <f t="shared" si="97"/>
        <v>Dec</v>
      </c>
      <c r="G359" s="7" t="str">
        <f t="shared" si="98"/>
        <v>T4</v>
      </c>
      <c r="H359" s="6">
        <f t="shared" si="99"/>
        <v>2025</v>
      </c>
    </row>
    <row r="360" spans="3:8" x14ac:dyDescent="0.35">
      <c r="C360" s="7">
        <v>46013</v>
      </c>
      <c r="D360" s="6">
        <f t="shared" si="91"/>
        <v>22</v>
      </c>
      <c r="E360" s="6">
        <f t="shared" si="96"/>
        <v>12</v>
      </c>
      <c r="F360" s="6" t="str">
        <f t="shared" si="97"/>
        <v>Dec</v>
      </c>
      <c r="G360" s="7" t="str">
        <f t="shared" si="98"/>
        <v>T4</v>
      </c>
      <c r="H360" s="6">
        <f t="shared" si="99"/>
        <v>2025</v>
      </c>
    </row>
    <row r="361" spans="3:8" x14ac:dyDescent="0.35">
      <c r="C361" s="7">
        <v>46014</v>
      </c>
      <c r="D361" s="6">
        <f t="shared" si="91"/>
        <v>23</v>
      </c>
      <c r="E361" s="6">
        <f t="shared" si="96"/>
        <v>12</v>
      </c>
      <c r="F361" s="6" t="str">
        <f t="shared" si="97"/>
        <v>Dec</v>
      </c>
      <c r="G361" s="7" t="str">
        <f t="shared" si="98"/>
        <v>T4</v>
      </c>
      <c r="H361" s="6">
        <f t="shared" si="99"/>
        <v>2025</v>
      </c>
    </row>
    <row r="362" spans="3:8" x14ac:dyDescent="0.35">
      <c r="C362" s="7">
        <v>46015</v>
      </c>
      <c r="D362" s="6">
        <f t="shared" si="91"/>
        <v>24</v>
      </c>
      <c r="E362" s="6">
        <f t="shared" si="96"/>
        <v>12</v>
      </c>
      <c r="F362" s="6" t="str">
        <f t="shared" si="97"/>
        <v>Dec</v>
      </c>
      <c r="G362" s="7" t="str">
        <f t="shared" si="98"/>
        <v>T4</v>
      </c>
      <c r="H362" s="6">
        <f t="shared" si="99"/>
        <v>2025</v>
      </c>
    </row>
    <row r="363" spans="3:8" x14ac:dyDescent="0.35">
      <c r="C363" s="7">
        <v>46016</v>
      </c>
      <c r="D363" s="6">
        <f t="shared" si="91"/>
        <v>25</v>
      </c>
      <c r="E363" s="6">
        <f t="shared" si="96"/>
        <v>12</v>
      </c>
      <c r="F363" s="6" t="str">
        <f t="shared" si="97"/>
        <v>Dec</v>
      </c>
      <c r="G363" s="7" t="str">
        <f t="shared" si="98"/>
        <v>T4</v>
      </c>
      <c r="H363" s="6">
        <f t="shared" si="99"/>
        <v>2025</v>
      </c>
    </row>
    <row r="364" spans="3:8" x14ac:dyDescent="0.35">
      <c r="C364" s="7">
        <v>46017</v>
      </c>
      <c r="D364" s="6">
        <f t="shared" si="91"/>
        <v>26</v>
      </c>
      <c r="E364" s="6">
        <f t="shared" si="96"/>
        <v>12</v>
      </c>
      <c r="F364" s="6" t="str">
        <f t="shared" si="97"/>
        <v>Dec</v>
      </c>
      <c r="G364" s="7" t="str">
        <f t="shared" si="98"/>
        <v>T4</v>
      </c>
      <c r="H364" s="6">
        <f t="shared" si="99"/>
        <v>2025</v>
      </c>
    </row>
    <row r="365" spans="3:8" x14ac:dyDescent="0.35">
      <c r="C365" s="7">
        <v>46018</v>
      </c>
      <c r="D365" s="6">
        <f t="shared" si="91"/>
        <v>27</v>
      </c>
      <c r="E365" s="6">
        <f t="shared" si="96"/>
        <v>12</v>
      </c>
      <c r="F365" s="6" t="str">
        <f t="shared" si="97"/>
        <v>Dec</v>
      </c>
      <c r="G365" s="7" t="str">
        <f t="shared" si="98"/>
        <v>T4</v>
      </c>
      <c r="H365" s="6">
        <f t="shared" si="99"/>
        <v>2025</v>
      </c>
    </row>
    <row r="366" spans="3:8" x14ac:dyDescent="0.35">
      <c r="C366" s="7">
        <v>46019</v>
      </c>
      <c r="D366" s="6">
        <f t="shared" si="91"/>
        <v>28</v>
      </c>
      <c r="E366" s="6">
        <f t="shared" si="96"/>
        <v>12</v>
      </c>
      <c r="F366" s="6" t="str">
        <f t="shared" si="97"/>
        <v>Dec</v>
      </c>
      <c r="G366" s="7" t="str">
        <f t="shared" si="98"/>
        <v>T4</v>
      </c>
      <c r="H366" s="6">
        <f t="shared" si="99"/>
        <v>2025</v>
      </c>
    </row>
    <row r="367" spans="3:8" x14ac:dyDescent="0.35">
      <c r="C367" s="7">
        <v>46020</v>
      </c>
      <c r="D367" s="6">
        <f>DAY(C367)</f>
        <v>29</v>
      </c>
      <c r="E367" s="6">
        <f>MONTH(C367)</f>
        <v>12</v>
      </c>
      <c r="F367" s="6" t="str">
        <f>TEXT(C367, "mmm")</f>
        <v>Dec</v>
      </c>
      <c r="G367" s="7" t="str">
        <f>"T"&amp;INT((MONTH(C367)-1)/3)+1</f>
        <v>T4</v>
      </c>
      <c r="H367" s="6">
        <f>YEAR(C367)</f>
        <v>2025</v>
      </c>
    </row>
    <row r="368" spans="3:8" x14ac:dyDescent="0.35">
      <c r="C368" s="7">
        <v>46021</v>
      </c>
      <c r="D368" s="6">
        <f>DAY(C368)</f>
        <v>30</v>
      </c>
      <c r="E368" s="6">
        <f>MONTH(C368)</f>
        <v>12</v>
      </c>
      <c r="F368" s="6" t="str">
        <f>TEXT(C368, "mmm")</f>
        <v>Dec</v>
      </c>
      <c r="G368" s="7" t="str">
        <f>"T"&amp;INT((MONTH(C368)-1)/3)+1</f>
        <v>T4</v>
      </c>
      <c r="H368" s="6">
        <f>YEAR(C368)</f>
        <v>2025</v>
      </c>
    </row>
    <row r="369" spans="3:8" x14ac:dyDescent="0.35">
      <c r="C369" s="7">
        <v>46022</v>
      </c>
      <c r="D369" s="6">
        <f>DAY(C369)</f>
        <v>31</v>
      </c>
      <c r="E369" s="6">
        <f>MONTH(C369)</f>
        <v>12</v>
      </c>
      <c r="F369" s="6" t="str">
        <f>TEXT(C369, "mmm")</f>
        <v>Dec</v>
      </c>
      <c r="G369" s="7" t="str">
        <f>"T"&amp;INT((MONTH(C369)-1)/3)+1</f>
        <v>T4</v>
      </c>
      <c r="H369" s="6">
        <f>YEAR(C369)</f>
        <v>2025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B362B-5B18-4B0C-BD0E-6D6533F555C2}">
  <sheetPr codeName="Feuil5"/>
  <dimension ref="C5:M33"/>
  <sheetViews>
    <sheetView topLeftCell="B4" workbookViewId="0">
      <selection activeCell="F26" sqref="F26"/>
    </sheetView>
  </sheetViews>
  <sheetFormatPr baseColWidth="10" defaultRowHeight="14.5" x14ac:dyDescent="0.35"/>
  <cols>
    <col min="4" max="4" width="15.453125" customWidth="1"/>
    <col min="5" max="5" width="12" customWidth="1"/>
    <col min="6" max="6" width="17.54296875" customWidth="1"/>
    <col min="7" max="8" width="19.08984375" customWidth="1"/>
    <col min="9" max="9" width="24.1796875" customWidth="1"/>
    <col min="10" max="11" width="18.81640625" customWidth="1"/>
    <col min="12" max="12" width="16.90625" customWidth="1"/>
    <col min="13" max="13" width="18.7265625" customWidth="1"/>
  </cols>
  <sheetData>
    <row r="5" spans="3:13" s="1" customFormat="1" ht="22" customHeight="1" x14ac:dyDescent="0.35">
      <c r="C5" s="2"/>
      <c r="D5" s="2" t="s">
        <v>108</v>
      </c>
      <c r="E5" s="2" t="s">
        <v>3</v>
      </c>
      <c r="F5" s="2" t="s">
        <v>109</v>
      </c>
      <c r="G5" s="2" t="s">
        <v>37</v>
      </c>
      <c r="H5" s="2" t="s">
        <v>38</v>
      </c>
      <c r="I5" s="2" t="s">
        <v>110</v>
      </c>
      <c r="J5" s="2" t="s">
        <v>175</v>
      </c>
      <c r="K5" s="2" t="s">
        <v>111</v>
      </c>
      <c r="L5" s="2" t="s">
        <v>112</v>
      </c>
      <c r="M5" s="1" t="s">
        <v>113</v>
      </c>
    </row>
    <row r="6" spans="3:13" x14ac:dyDescent="0.35">
      <c r="D6" s="6" t="str">
        <f>"CO"&amp;TEXT(ROW(C6)-5,"000")</f>
        <v>CO001</v>
      </c>
      <c r="E6" s="7">
        <v>45658</v>
      </c>
      <c r="F6" s="6" t="s">
        <v>115</v>
      </c>
      <c r="G6" s="6" t="s">
        <v>9</v>
      </c>
      <c r="H6" s="6"/>
      <c r="I6" s="6">
        <v>10</v>
      </c>
      <c r="J6" s="18">
        <v>5000</v>
      </c>
      <c r="K6" s="6"/>
      <c r="L6" s="18">
        <f>Tableau5[[#This Row],[Quantite Commandee]]*Tableau5[[#This Row],[Prix Unitaire]]</f>
        <v>50000</v>
      </c>
      <c r="M6" s="6" t="str">
        <f>IF(Tableau5[[#This Row],[Quantite Commandee]]=Tableau5[[#This Row],[Prix Unitaire]],"Livrée", "Non livrée")</f>
        <v>Non livrée</v>
      </c>
    </row>
    <row r="7" spans="3:13" x14ac:dyDescent="0.35">
      <c r="D7" s="6" t="s">
        <v>202</v>
      </c>
      <c r="E7" s="7">
        <v>45961</v>
      </c>
      <c r="F7" s="6" t="s">
        <v>115</v>
      </c>
      <c r="G7" s="6" t="s">
        <v>10</v>
      </c>
      <c r="H7" s="42" t="str">
        <f>VLOOKUP(Tableau5[[#This Row],[ID Produit]],Tableau3[[#All],[ID Produit]:[Nom Produit]],2,FALSE)</f>
        <v>Produit2</v>
      </c>
      <c r="I7" s="6">
        <v>50</v>
      </c>
      <c r="J7" s="18"/>
      <c r="K7" s="6"/>
      <c r="L7" s="18">
        <f>Tableau5[[#This Row],[Quantite Commandee]]*Tableau5[[#This Row],[Prix Unitaire]]</f>
        <v>0</v>
      </c>
      <c r="M7" s="6" t="str">
        <f>IF(Tableau5[[#This Row],[Quantite Commandee]]=Tableau5[[#This Row],[Prix Unitaire]],"Livrée", "Non livrée")</f>
        <v>Non livrée</v>
      </c>
    </row>
    <row r="8" spans="3:13" x14ac:dyDescent="0.35">
      <c r="D8" s="6" t="str">
        <f t="shared" ref="D8:D21" si="0">"CO"&amp;TEXT(ROW(C8)-5,"000")</f>
        <v>CO003</v>
      </c>
      <c r="E8" s="7">
        <v>45659</v>
      </c>
      <c r="F8" s="6" t="s">
        <v>116</v>
      </c>
      <c r="G8" s="6" t="s">
        <v>10</v>
      </c>
      <c r="H8" s="6" t="str">
        <f>VLOOKUP(Tableau5[[#This Row],[ID Produit]],Tableau3[[#All],[ID Produit]:[Nom Produit]],2,FALSE)</f>
        <v>Produit2</v>
      </c>
      <c r="I8" s="6">
        <v>10</v>
      </c>
      <c r="J8" s="18">
        <v>5000</v>
      </c>
      <c r="K8" s="6"/>
      <c r="L8" s="18">
        <f>Tableau5[[#This Row],[Quantite Commandee]]*Tableau5[[#This Row],[Prix Unitaire]]</f>
        <v>50000</v>
      </c>
      <c r="M8" s="6" t="str">
        <f>IF(Tableau5[[#This Row],[Quantite Commandee]]=Tableau5[[#This Row],[Prix Unitaire]],"Livrée", "Non livrée")</f>
        <v>Non livrée</v>
      </c>
    </row>
    <row r="9" spans="3:13" x14ac:dyDescent="0.35">
      <c r="D9" s="6" t="str">
        <f t="shared" si="0"/>
        <v>CO004</v>
      </c>
      <c r="E9" s="7">
        <v>45660</v>
      </c>
      <c r="F9" s="6" t="s">
        <v>117</v>
      </c>
      <c r="G9" s="6" t="s">
        <v>118</v>
      </c>
      <c r="H9" s="6" t="str">
        <f>VLOOKUP(Tableau5[[#This Row],[ID Produit]],Tableau3[[#All],[ID Produit]:[Nom Produit]],2,FALSE)</f>
        <v>Produit3</v>
      </c>
      <c r="I9" s="6">
        <v>10</v>
      </c>
      <c r="J9" s="18">
        <v>5000</v>
      </c>
      <c r="K9" s="6"/>
      <c r="L9" s="18">
        <f>Tableau5[[#This Row],[Quantite Commandee]]*Tableau5[[#This Row],[Prix Unitaire]]</f>
        <v>50000</v>
      </c>
      <c r="M9" s="6" t="str">
        <f>IF(Tableau5[[#This Row],[Quantite Commandee]]=Tableau5[[#This Row],[Prix Unitaire]],"Livrée", "Non livrée")</f>
        <v>Non livrée</v>
      </c>
    </row>
    <row r="10" spans="3:13" x14ac:dyDescent="0.35">
      <c r="D10" s="6" t="str">
        <f t="shared" si="0"/>
        <v>CO005</v>
      </c>
      <c r="E10" s="7">
        <v>45661</v>
      </c>
      <c r="F10" s="6" t="s">
        <v>119</v>
      </c>
      <c r="G10" s="6" t="s">
        <v>11</v>
      </c>
      <c r="H10" s="6" t="str">
        <f>VLOOKUP(Tableau5[[#This Row],[ID Produit]],Tableau3[[#All],[ID Produit]:[Nom Produit]],2,FALSE)</f>
        <v>Produit4</v>
      </c>
      <c r="I10" s="6">
        <v>10</v>
      </c>
      <c r="J10" s="18">
        <v>5000</v>
      </c>
      <c r="K10" s="6"/>
      <c r="L10" s="18">
        <f>Tableau5[[#This Row],[Quantite Commandee]]*Tableau5[[#This Row],[Prix Unitaire]]</f>
        <v>50000</v>
      </c>
      <c r="M10" s="6" t="str">
        <f>IF(Tableau5[[#This Row],[Quantite Commandee]]=Tableau5[[#This Row],[Prix Unitaire]],"Livrée", "Non livrée")</f>
        <v>Non livrée</v>
      </c>
    </row>
    <row r="11" spans="3:13" x14ac:dyDescent="0.35">
      <c r="D11" s="6" t="str">
        <f t="shared" si="0"/>
        <v>CO006</v>
      </c>
      <c r="E11" s="7">
        <v>45662</v>
      </c>
      <c r="F11" s="6" t="s">
        <v>120</v>
      </c>
      <c r="G11" s="6" t="s">
        <v>121</v>
      </c>
      <c r="H11" s="6" t="str">
        <f>VLOOKUP(Tableau5[[#This Row],[ID Produit]],Tableau3[[#All],[ID Produit]:[Nom Produit]],2,FALSE)</f>
        <v>Produit5</v>
      </c>
      <c r="I11" s="6">
        <v>10</v>
      </c>
      <c r="J11" s="18">
        <v>5000</v>
      </c>
      <c r="K11" s="6"/>
      <c r="L11" s="18">
        <f>Tableau5[[#This Row],[Quantite Commandee]]*Tableau5[[#This Row],[Prix Unitaire]]</f>
        <v>50000</v>
      </c>
      <c r="M11" s="6" t="str">
        <f>IF(Tableau5[[#This Row],[Quantite Commandee]]=Tableau5[[#This Row],[Prix Unitaire]],"Livrée", "Non livrée")</f>
        <v>Non livrée</v>
      </c>
    </row>
    <row r="12" spans="3:13" x14ac:dyDescent="0.35">
      <c r="D12" s="6" t="str">
        <f t="shared" si="0"/>
        <v>CO007</v>
      </c>
      <c r="E12" s="7">
        <v>45663</v>
      </c>
      <c r="F12" s="6" t="s">
        <v>122</v>
      </c>
      <c r="G12" s="6" t="s">
        <v>123</v>
      </c>
      <c r="H12" s="6" t="str">
        <f>VLOOKUP(Tableau5[[#This Row],[ID Produit]],Tableau3[[#All],[ID Produit]:[Nom Produit]],2,FALSE)</f>
        <v>Produit6</v>
      </c>
      <c r="I12" s="6">
        <v>10</v>
      </c>
      <c r="J12" s="18">
        <v>5000</v>
      </c>
      <c r="K12" s="6"/>
      <c r="L12" s="18">
        <f>Tableau5[[#This Row],[Quantite Commandee]]*Tableau5[[#This Row],[Prix Unitaire]]</f>
        <v>50000</v>
      </c>
      <c r="M12" s="6" t="str">
        <f>IF(Tableau5[[#This Row],[Quantite Commandee]]=Tableau5[[#This Row],[Prix Unitaire]],"Livrée", "Non livrée")</f>
        <v>Non livrée</v>
      </c>
    </row>
    <row r="13" spans="3:13" x14ac:dyDescent="0.35">
      <c r="D13" s="6" t="str">
        <f t="shared" si="0"/>
        <v>CO008</v>
      </c>
      <c r="E13" s="7">
        <v>45664</v>
      </c>
      <c r="F13" s="6" t="s">
        <v>124</v>
      </c>
      <c r="G13" s="6" t="s">
        <v>125</v>
      </c>
      <c r="H13" s="6" t="str">
        <f>VLOOKUP(Tableau5[[#This Row],[ID Produit]],Tableau3[[#All],[ID Produit]:[Nom Produit]],2,FALSE)</f>
        <v>Produit7</v>
      </c>
      <c r="I13" s="6">
        <v>10</v>
      </c>
      <c r="J13" s="18">
        <v>5000</v>
      </c>
      <c r="K13" s="6"/>
      <c r="L13" s="18">
        <f>Tableau5[[#This Row],[Quantite Commandee]]*Tableau5[[#This Row],[Prix Unitaire]]</f>
        <v>50000</v>
      </c>
      <c r="M13" s="6" t="str">
        <f>IF(Tableau5[[#This Row],[Quantite Commandee]]=Tableau5[[#This Row],[Prix Unitaire]],"Livrée", "Non livrée")</f>
        <v>Non livrée</v>
      </c>
    </row>
    <row r="14" spans="3:13" x14ac:dyDescent="0.35">
      <c r="D14" s="6" t="str">
        <f t="shared" si="0"/>
        <v>CO009</v>
      </c>
      <c r="E14" s="7">
        <v>45665</v>
      </c>
      <c r="F14" s="6" t="s">
        <v>114</v>
      </c>
      <c r="G14" s="6" t="s">
        <v>126</v>
      </c>
      <c r="H14" s="6" t="str">
        <f>VLOOKUP(Tableau5[[#This Row],[ID Produit]],Tableau3[[#All],[ID Produit]:[Nom Produit]],2,FALSE)</f>
        <v>Produit8</v>
      </c>
      <c r="I14" s="6">
        <v>10</v>
      </c>
      <c r="J14" s="18">
        <v>5000</v>
      </c>
      <c r="K14" s="6"/>
      <c r="L14" s="18">
        <f>Tableau5[[#This Row],[Quantite Commandee]]*Tableau5[[#This Row],[Prix Unitaire]]</f>
        <v>50000</v>
      </c>
      <c r="M14" s="6" t="str">
        <f>IF(Tableau5[[#This Row],[Quantite Commandee]]=Tableau5[[#This Row],[Prix Unitaire]],"Livrée", "Non livrée")</f>
        <v>Non livrée</v>
      </c>
    </row>
    <row r="15" spans="3:13" x14ac:dyDescent="0.35">
      <c r="D15" s="6" t="str">
        <f t="shared" si="0"/>
        <v>CO010</v>
      </c>
      <c r="E15" s="7">
        <v>45666</v>
      </c>
      <c r="F15" s="6" t="s">
        <v>127</v>
      </c>
      <c r="G15" s="6" t="s">
        <v>128</v>
      </c>
      <c r="H15" s="6" t="str">
        <f>VLOOKUP(Tableau5[[#This Row],[ID Produit]],Tableau3[[#All],[ID Produit]:[Nom Produit]],2,FALSE)</f>
        <v>Produit9</v>
      </c>
      <c r="I15" s="6">
        <v>10</v>
      </c>
      <c r="J15" s="18">
        <v>5000</v>
      </c>
      <c r="K15" s="6"/>
      <c r="L15" s="18">
        <f>Tableau5[[#This Row],[Quantite Commandee]]*Tableau5[[#This Row],[Prix Unitaire]]</f>
        <v>50000</v>
      </c>
      <c r="M15" s="6" t="str">
        <f>IF(Tableau5[[#This Row],[Quantite Commandee]]=Tableau5[[#This Row],[Prix Unitaire]],"Livrée", "Non livrée")</f>
        <v>Non livrée</v>
      </c>
    </row>
    <row r="16" spans="3:13" x14ac:dyDescent="0.35">
      <c r="D16" s="6" t="str">
        <f t="shared" si="0"/>
        <v>CO011</v>
      </c>
      <c r="E16" s="7">
        <v>45667</v>
      </c>
      <c r="F16" s="6" t="s">
        <v>129</v>
      </c>
      <c r="G16" s="6" t="s">
        <v>130</v>
      </c>
      <c r="H16" s="6" t="str">
        <f>VLOOKUP(Tableau5[[#This Row],[ID Produit]],Tableau3[[#All],[ID Produit]:[Nom Produit]],2,FALSE)</f>
        <v>Produit10</v>
      </c>
      <c r="I16" s="6">
        <v>10</v>
      </c>
      <c r="J16" s="18">
        <v>5000</v>
      </c>
      <c r="K16" s="6"/>
      <c r="L16" s="18">
        <f>Tableau5[[#This Row],[Quantite Commandee]]*Tableau5[[#This Row],[Prix Unitaire]]</f>
        <v>50000</v>
      </c>
      <c r="M16" s="6" t="str">
        <f>IF(Tableau5[[#This Row],[Quantite Commandee]]=Tableau5[[#This Row],[Prix Unitaire]],"Livrée", "Non livrée")</f>
        <v>Non livrée</v>
      </c>
    </row>
    <row r="17" spans="4:13" x14ac:dyDescent="0.35">
      <c r="D17" s="6" t="str">
        <f t="shared" si="0"/>
        <v>CO012</v>
      </c>
      <c r="E17" s="7">
        <v>45668</v>
      </c>
      <c r="F17" s="6" t="s">
        <v>131</v>
      </c>
      <c r="G17" s="6" t="s">
        <v>132</v>
      </c>
      <c r="H17" s="6" t="str">
        <f>VLOOKUP(Tableau5[[#This Row],[ID Produit]],Tableau3[[#All],[ID Produit]:[Nom Produit]],2,FALSE)</f>
        <v>Produit11</v>
      </c>
      <c r="I17" s="6">
        <v>10</v>
      </c>
      <c r="J17" s="18">
        <v>5000</v>
      </c>
      <c r="K17" s="6"/>
      <c r="L17" s="18">
        <f>Tableau5[[#This Row],[Quantite Commandee]]*Tableau5[[#This Row],[Prix Unitaire]]</f>
        <v>50000</v>
      </c>
      <c r="M17" s="6" t="str">
        <f>IF(Tableau5[[#This Row],[Quantite Commandee]]=Tableau5[[#This Row],[Prix Unitaire]],"Livrée", "Non livrée")</f>
        <v>Non livrée</v>
      </c>
    </row>
    <row r="18" spans="4:13" x14ac:dyDescent="0.35">
      <c r="D18" s="6" t="str">
        <f t="shared" si="0"/>
        <v>CO013</v>
      </c>
      <c r="E18" s="7">
        <v>45669</v>
      </c>
      <c r="F18" s="6" t="s">
        <v>133</v>
      </c>
      <c r="G18" s="6" t="s">
        <v>134</v>
      </c>
      <c r="H18" s="6" t="str">
        <f>VLOOKUP(Tableau5[[#This Row],[ID Produit]],Tableau3[[#All],[ID Produit]:[Nom Produit]],2,FALSE)</f>
        <v>Produit12</v>
      </c>
      <c r="I18" s="6">
        <v>10</v>
      </c>
      <c r="J18" s="18">
        <v>5000</v>
      </c>
      <c r="K18" s="6"/>
      <c r="L18" s="18">
        <f>Tableau5[[#This Row],[Quantite Commandee]]*Tableau5[[#This Row],[Prix Unitaire]]</f>
        <v>50000</v>
      </c>
      <c r="M18" s="6" t="str">
        <f>IF(Tableau5[[#This Row],[Quantite Commandee]]=Tableau5[[#This Row],[Prix Unitaire]],"Livrée", "Non livrée")</f>
        <v>Non livrée</v>
      </c>
    </row>
    <row r="19" spans="4:13" x14ac:dyDescent="0.35">
      <c r="D19" s="6" t="str">
        <f t="shared" si="0"/>
        <v>CO014</v>
      </c>
      <c r="E19" s="7">
        <v>45670</v>
      </c>
      <c r="F19" s="6" t="s">
        <v>135</v>
      </c>
      <c r="G19" s="6" t="s">
        <v>136</v>
      </c>
      <c r="H19" s="6" t="str">
        <f>VLOOKUP(Tableau5[[#This Row],[ID Produit]],Tableau3[[#All],[ID Produit]:[Nom Produit]],2,FALSE)</f>
        <v>Produit13</v>
      </c>
      <c r="I19" s="6">
        <v>10</v>
      </c>
      <c r="J19" s="18">
        <v>5000</v>
      </c>
      <c r="K19" s="6"/>
      <c r="L19" s="18">
        <f>Tableau5[[#This Row],[Quantite Commandee]]*Tableau5[[#This Row],[Prix Unitaire]]</f>
        <v>50000</v>
      </c>
      <c r="M19" s="6" t="str">
        <f>IF(Tableau5[[#This Row],[Quantite Commandee]]=Tableau5[[#This Row],[Prix Unitaire]],"Livrée", "Non livrée")</f>
        <v>Non livrée</v>
      </c>
    </row>
    <row r="20" spans="4:13" x14ac:dyDescent="0.35">
      <c r="D20" s="6" t="str">
        <f t="shared" si="0"/>
        <v>CO015</v>
      </c>
      <c r="E20" s="7">
        <v>45671</v>
      </c>
      <c r="F20" s="6" t="s">
        <v>137</v>
      </c>
      <c r="G20" s="6" t="s">
        <v>138</v>
      </c>
      <c r="H20" s="6" t="str">
        <f>VLOOKUP(Tableau5[[#This Row],[ID Produit]],Tableau3[[#All],[ID Produit]:[Nom Produit]],2,FALSE)</f>
        <v>Produit14</v>
      </c>
      <c r="I20" s="6">
        <v>10</v>
      </c>
      <c r="J20" s="18">
        <v>5000</v>
      </c>
      <c r="K20" s="6"/>
      <c r="L20" s="18">
        <f>Tableau5[[#This Row],[Quantite Commandee]]*Tableau5[[#This Row],[Prix Unitaire]]</f>
        <v>50000</v>
      </c>
      <c r="M20" s="6" t="str">
        <f>IF(Tableau5[[#This Row],[Quantite Commandee]]=Tableau5[[#This Row],[Prix Unitaire]],"Livrée", "Non livrée")</f>
        <v>Non livrée</v>
      </c>
    </row>
    <row r="21" spans="4:13" x14ac:dyDescent="0.35">
      <c r="D21" s="6" t="str">
        <f t="shared" si="0"/>
        <v>CO016</v>
      </c>
      <c r="E21" s="7">
        <v>45672</v>
      </c>
      <c r="F21" s="6" t="s">
        <v>139</v>
      </c>
      <c r="G21" s="6" t="s">
        <v>140</v>
      </c>
      <c r="H21" s="6" t="str">
        <f>VLOOKUP(Tableau5[[#This Row],[ID Produit]],Tableau3[[#All],[ID Produit]:[Nom Produit]],2,FALSE)</f>
        <v>Produit15</v>
      </c>
      <c r="I21" s="6">
        <v>10</v>
      </c>
      <c r="J21" s="18">
        <v>5000</v>
      </c>
      <c r="K21" s="6"/>
      <c r="L21" s="18">
        <f>Tableau5[[#This Row],[Quantite Commandee]]*Tableau5[[#This Row],[Prix Unitaire]]</f>
        <v>50000</v>
      </c>
      <c r="M21" s="6" t="str">
        <f>IF(Tableau5[[#This Row],[Quantite Commandee]]=Tableau5[[#This Row],[Prix Unitaire]],"Livrée", "Non livrée")</f>
        <v>Non livrée</v>
      </c>
    </row>
    <row r="22" spans="4:13" x14ac:dyDescent="0.35">
      <c r="D22" s="6" t="s">
        <v>186</v>
      </c>
      <c r="E22" s="7">
        <v>45960.501875000002</v>
      </c>
      <c r="F22" s="6" t="s">
        <v>114</v>
      </c>
      <c r="G22" s="6" t="s">
        <v>9</v>
      </c>
      <c r="H22" s="6" t="str">
        <f>VLOOKUP(Tableau5[[#This Row],[ID Produit]],Tableau3[[#All],[ID Produit]:[Nom Produit]],2,FALSE)</f>
        <v>Produit1</v>
      </c>
      <c r="I22" s="6">
        <v>2</v>
      </c>
      <c r="J22" s="18">
        <v>3</v>
      </c>
      <c r="K22" s="6"/>
      <c r="L22" s="18">
        <f>Tableau5[[#This Row],[Quantite Commandee]]*Tableau5[[#This Row],[Prix Unitaire]]</f>
        <v>6</v>
      </c>
      <c r="M22" s="6" t="str">
        <f>IF(Tableau5[[#This Row],[Quantite Commandee]]=Tableau5[[#This Row],[Prix Unitaire]],"Livrée", "Non livrée")</f>
        <v>Non livrée</v>
      </c>
    </row>
    <row r="23" spans="4:13" x14ac:dyDescent="0.35">
      <c r="D23" s="6" t="s">
        <v>186</v>
      </c>
      <c r="E23" s="7">
        <v>45960.501875000002</v>
      </c>
      <c r="F23" s="6" t="s">
        <v>114</v>
      </c>
      <c r="G23" s="6" t="s">
        <v>10</v>
      </c>
      <c r="H23" s="6" t="str">
        <f>VLOOKUP(Tableau5[[#This Row],[ID Produit]],Tableau3[[#All],[ID Produit]:[Nom Produit]],2,FALSE)</f>
        <v>Produit2</v>
      </c>
      <c r="I23" s="6">
        <v>2</v>
      </c>
      <c r="J23" s="18">
        <v>50</v>
      </c>
      <c r="K23" s="6"/>
      <c r="L23" s="18">
        <f>Tableau5[[#This Row],[Quantite Commandee]]*Tableau5[[#This Row],[Prix Unitaire]]</f>
        <v>100</v>
      </c>
      <c r="M23" s="6" t="str">
        <f>IF(Tableau5[[#This Row],[Quantite Commandee]]=Tableau5[[#This Row],[Prix Unitaire]],"Livrée", "Non livrée")</f>
        <v>Non livrée</v>
      </c>
    </row>
    <row r="24" spans="4:13" x14ac:dyDescent="0.35">
      <c r="D24" s="6" t="s">
        <v>187</v>
      </c>
      <c r="E24" s="7">
        <v>45960.504710648151</v>
      </c>
      <c r="F24" s="6" t="s">
        <v>115</v>
      </c>
      <c r="G24" s="6" t="s">
        <v>121</v>
      </c>
      <c r="H24" s="6" t="str">
        <f>VLOOKUP(Tableau5[[#This Row],[ID Produit]],Tableau3[[#All],[ID Produit]:[Nom Produit]],2,FALSE)</f>
        <v>Produit5</v>
      </c>
      <c r="I24" s="6">
        <v>4</v>
      </c>
      <c r="J24" s="18">
        <v>2</v>
      </c>
      <c r="K24" s="6"/>
      <c r="L24" s="18">
        <f>Tableau5[[#This Row],[Quantite Commandee]]*Tableau5[[#This Row],[Prix Unitaire]]</f>
        <v>8</v>
      </c>
      <c r="M24" s="6" t="str">
        <f>IF(Tableau5[[#This Row],[Quantite Commandee]]=Tableau5[[#This Row],[Prix Unitaire]],"Livrée", "Non livrée")</f>
        <v>Non livrée</v>
      </c>
    </row>
    <row r="25" spans="4:13" x14ac:dyDescent="0.35">
      <c r="D25" s="6" t="s">
        <v>187</v>
      </c>
      <c r="E25" s="7">
        <v>45960.504710648151</v>
      </c>
      <c r="F25" s="6" t="s">
        <v>115</v>
      </c>
      <c r="G25" s="6" t="s">
        <v>11</v>
      </c>
      <c r="H25" s="6" t="str">
        <f>VLOOKUP(Tableau5[[#This Row],[ID Produit]],Tableau3[[#All],[ID Produit]:[Nom Produit]],2,FALSE)</f>
        <v>Produit4</v>
      </c>
      <c r="I25" s="6">
        <v>3</v>
      </c>
      <c r="J25" s="18">
        <v>4</v>
      </c>
      <c r="K25" s="6"/>
      <c r="L25" s="18">
        <f>Tableau5[[#This Row],[Quantite Commandee]]*Tableau5[[#This Row],[Prix Unitaire]]</f>
        <v>12</v>
      </c>
      <c r="M25" s="6" t="str">
        <f>IF(Tableau5[[#This Row],[Quantite Commandee]]=Tableau5[[#This Row],[Prix Unitaire]],"Livrée", "Non livrée")</f>
        <v>Non livrée</v>
      </c>
    </row>
    <row r="26" spans="4:13" x14ac:dyDescent="0.35">
      <c r="D26" s="6" t="s">
        <v>188</v>
      </c>
      <c r="E26" s="7">
        <v>45960.554629629631</v>
      </c>
      <c r="F26" s="6" t="s">
        <v>114</v>
      </c>
      <c r="G26" s="6" t="s">
        <v>10</v>
      </c>
      <c r="H26" s="6" t="str">
        <f>VLOOKUP(Tableau5[[#This Row],[ID Produit]],Tableau3[[#All],[ID Produit]:[Nom Produit]],2,FALSE)</f>
        <v>Produit2</v>
      </c>
      <c r="I26" s="6">
        <v>2</v>
      </c>
      <c r="J26" s="18">
        <v>200</v>
      </c>
      <c r="K26" s="6"/>
      <c r="L26" s="18">
        <f>Tableau5[[#This Row],[Quantite Commandee]]*Tableau5[[#This Row],[Prix Unitaire]]</f>
        <v>400</v>
      </c>
      <c r="M26" s="6" t="str">
        <f>IF(Tableau5[[#This Row],[Quantite Commandee]]=Tableau5[[#This Row],[Prix Unitaire]],"Livrée", "Non livrée")</f>
        <v>Non livrée</v>
      </c>
    </row>
    <row r="27" spans="4:13" x14ac:dyDescent="0.35">
      <c r="D27" s="6" t="s">
        <v>196</v>
      </c>
      <c r="E27" s="7">
        <v>45960.900856481479</v>
      </c>
      <c r="F27" s="6" t="s">
        <v>115</v>
      </c>
      <c r="G27" s="6" t="s">
        <v>9</v>
      </c>
      <c r="H27" s="6" t="str">
        <f>VLOOKUP(Tableau5[[#This Row],[ID Produit]],Tableau3[[#All],[ID Produit]:[Nom Produit]],2,FALSE)</f>
        <v>Produit1</v>
      </c>
      <c r="I27" s="6">
        <v>12</v>
      </c>
      <c r="J27" s="18">
        <v>40</v>
      </c>
      <c r="K27" s="6"/>
      <c r="L27" s="18">
        <f>Tableau5[[#This Row],[Quantite Commandee]]*Tableau5[[#This Row],[Prix Unitaire]]</f>
        <v>480</v>
      </c>
      <c r="M27" s="6" t="str">
        <f>IF(Tableau5[[#This Row],[Quantite Commandee]]=Tableau5[[#This Row],[Prix Unitaire]],"Livrée", "Non livrée")</f>
        <v>Non livrée</v>
      </c>
    </row>
    <row r="28" spans="4:13" x14ac:dyDescent="0.35">
      <c r="D28" s="6" t="s">
        <v>196</v>
      </c>
      <c r="E28" s="7">
        <v>45960.900856481479</v>
      </c>
      <c r="F28" s="6" t="s">
        <v>115</v>
      </c>
      <c r="G28" s="6" t="s">
        <v>10</v>
      </c>
      <c r="H28" s="6" t="str">
        <f>VLOOKUP(Tableau5[[#This Row],[ID Produit]],Tableau3[[#All],[ID Produit]:[Nom Produit]],2,FALSE)</f>
        <v>Produit2</v>
      </c>
      <c r="I28" s="6">
        <v>10</v>
      </c>
      <c r="J28" s="18">
        <v>50</v>
      </c>
      <c r="K28" s="6"/>
      <c r="L28" s="18">
        <f>Tableau5[[#This Row],[Quantite Commandee]]*Tableau5[[#This Row],[Prix Unitaire]]</f>
        <v>500</v>
      </c>
      <c r="M28" s="6" t="str">
        <f>IF(Tableau5[[#This Row],[Quantite Commandee]]=Tableau5[[#This Row],[Prix Unitaire]],"Livrée", "Non livrée")</f>
        <v>Non livrée</v>
      </c>
    </row>
    <row r="29" spans="4:13" x14ac:dyDescent="0.35">
      <c r="D29" s="6" t="s">
        <v>196</v>
      </c>
      <c r="E29" s="7">
        <v>45960.900856481479</v>
      </c>
      <c r="F29" s="6" t="s">
        <v>115</v>
      </c>
      <c r="G29" s="6" t="s">
        <v>118</v>
      </c>
      <c r="H29" s="6" t="str">
        <f>VLOOKUP(Tableau5[[#This Row],[ID Produit]],Tableau3[[#All],[ID Produit]:[Nom Produit]],2,FALSE)</f>
        <v>Produit3</v>
      </c>
      <c r="I29" s="6">
        <v>4</v>
      </c>
      <c r="J29" s="18">
        <v>100</v>
      </c>
      <c r="K29" s="6"/>
      <c r="L29" s="18">
        <f>Tableau5[[#This Row],[Quantite Commandee]]*Tableau5[[#This Row],[Prix Unitaire]]</f>
        <v>400</v>
      </c>
      <c r="M29" s="6" t="str">
        <f>IF(Tableau5[[#This Row],[Quantite Commandee]]=Tableau5[[#This Row],[Prix Unitaire]],"Livrée", "Non livrée")</f>
        <v>Non livrée</v>
      </c>
    </row>
    <row r="30" spans="4:13" x14ac:dyDescent="0.35">
      <c r="D30" s="6" t="s">
        <v>196</v>
      </c>
      <c r="E30" s="7">
        <v>45960.900856481479</v>
      </c>
      <c r="F30" s="6" t="s">
        <v>115</v>
      </c>
      <c r="G30" s="6" t="s">
        <v>11</v>
      </c>
      <c r="H30" s="6" t="str">
        <f>VLOOKUP(Tableau5[[#This Row],[ID Produit]],Tableau3[[#All],[ID Produit]:[Nom Produit]],2,FALSE)</f>
        <v>Produit4</v>
      </c>
      <c r="I30" s="6">
        <v>10</v>
      </c>
      <c r="J30" s="18">
        <v>150</v>
      </c>
      <c r="K30" s="6"/>
      <c r="L30" s="18">
        <f>Tableau5[[#This Row],[Quantite Commandee]]*Tableau5[[#This Row],[Prix Unitaire]]</f>
        <v>1500</v>
      </c>
      <c r="M30" s="6" t="str">
        <f>IF(Tableau5[[#This Row],[Quantite Commandee]]=Tableau5[[#This Row],[Prix Unitaire]],"Livrée", "Non livrée")</f>
        <v>Non livrée</v>
      </c>
    </row>
    <row r="31" spans="4:13" x14ac:dyDescent="0.35">
      <c r="D31" s="6" t="s">
        <v>196</v>
      </c>
      <c r="E31" s="7">
        <v>45960.900856481479</v>
      </c>
      <c r="F31" s="6" t="s">
        <v>115</v>
      </c>
      <c r="G31" s="6" t="s">
        <v>121</v>
      </c>
      <c r="H31" s="6" t="str">
        <f>VLOOKUP(Tableau5[[#This Row],[ID Produit]],Tableau3[[#All],[ID Produit]:[Nom Produit]],2,FALSE)</f>
        <v>Produit5</v>
      </c>
      <c r="I31" s="6">
        <v>3</v>
      </c>
      <c r="J31" s="18">
        <v>300</v>
      </c>
      <c r="K31" s="6"/>
      <c r="L31" s="18">
        <f>Tableau5[[#This Row],[Quantite Commandee]]*Tableau5[[#This Row],[Prix Unitaire]]</f>
        <v>900</v>
      </c>
      <c r="M31" s="6" t="str">
        <f>IF(Tableau5[[#This Row],[Quantite Commandee]]=Tableau5[[#This Row],[Prix Unitaire]],"Livrée", "Non livrée")</f>
        <v>Non livrée</v>
      </c>
    </row>
    <row r="32" spans="4:13" x14ac:dyDescent="0.35">
      <c r="D32" s="6" t="s">
        <v>197</v>
      </c>
      <c r="E32" s="7">
        <v>45960.923217592594</v>
      </c>
      <c r="F32" s="6" t="s">
        <v>115</v>
      </c>
      <c r="G32" s="6" t="s">
        <v>9</v>
      </c>
      <c r="H32" s="42" t="str">
        <f>VLOOKUP(Tableau5[[#This Row],[ID Produit]],Tableau3[[#All],[ID Produit]:[Nom Produit]],2,FALSE)</f>
        <v>Produit1</v>
      </c>
      <c r="I32" s="6">
        <v>15</v>
      </c>
      <c r="J32" s="18">
        <v>1000</v>
      </c>
      <c r="K32" s="6"/>
      <c r="L32" s="18">
        <f>Tableau5[[#This Row],[Quantite Commandee]]*Tableau5[[#This Row],[Prix Unitaire]]</f>
        <v>15000</v>
      </c>
      <c r="M32" s="6" t="str">
        <f>IF(Tableau5[[#This Row],[Quantite Commandee]]=Tableau5[[#This Row],[Prix Unitaire]],"Livrée", "Non livrée")</f>
        <v>Non livrée</v>
      </c>
    </row>
    <row r="33" spans="4:13" x14ac:dyDescent="0.35">
      <c r="D33" s="6" t="s">
        <v>197</v>
      </c>
      <c r="E33" s="7">
        <v>45960.923217592594</v>
      </c>
      <c r="F33" s="6" t="s">
        <v>115</v>
      </c>
      <c r="G33" s="6" t="s">
        <v>10</v>
      </c>
      <c r="H33" s="42" t="str">
        <f>VLOOKUP(Tableau5[[#This Row],[ID Produit]],Tableau3[[#All],[ID Produit]:[Nom Produit]],2,FALSE)</f>
        <v>Produit2</v>
      </c>
      <c r="I33" s="6">
        <v>5</v>
      </c>
      <c r="J33" s="18">
        <v>5000</v>
      </c>
      <c r="K33" s="6"/>
      <c r="L33" s="18">
        <f>Tableau5[[#This Row],[Quantite Commandee]]*Tableau5[[#This Row],[Prix Unitaire]]</f>
        <v>25000</v>
      </c>
      <c r="M33" s="6" t="str">
        <f>IF(Tableau5[[#This Row],[Quantite Commandee]]=Tableau5[[#This Row],[Prix Unitaire]],"Livrée", "Non livrée")</f>
        <v>Non livrée</v>
      </c>
    </row>
  </sheetData>
  <phoneticPr fontId="6" type="noConversion"/>
  <dataValidations count="4">
    <dataValidation type="list" allowBlank="1" showInputMessage="1" showErrorMessage="1" sqref="E34:E48" xr:uid="{879B6F6A-5C64-4699-9AEF-F1EC16841FC8}">
      <formula1>liste_date</formula1>
    </dataValidation>
    <dataValidation type="list" allowBlank="1" showInputMessage="1" showErrorMessage="1" sqref="F6:F33" xr:uid="{D4E751BD-7E14-4396-9E5F-983C75A8116C}">
      <formula1>Fournisseurs</formula1>
    </dataValidation>
    <dataValidation type="list" allowBlank="1" showInputMessage="1" showErrorMessage="1" sqref="G6:G33" xr:uid="{5C3C1866-471E-4EEA-B028-F77351EB9287}">
      <formula1>Produits</formula1>
    </dataValidation>
    <dataValidation type="list" allowBlank="1" showInputMessage="1" showErrorMessage="1" sqref="E6:E33" xr:uid="{EB55C746-1385-42E5-BB11-7878C16C00C2}">
      <formula1>Dates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6350-2426-47F3-8011-4DC1EB02C3D2}">
  <sheetPr codeName="Feuil8">
    <pageSetUpPr fitToPage="1"/>
  </sheetPr>
  <dimension ref="B10:G49"/>
  <sheetViews>
    <sheetView workbookViewId="0">
      <selection activeCell="J12" sqref="J12"/>
    </sheetView>
  </sheetViews>
  <sheetFormatPr baseColWidth="10" defaultRowHeight="14.5" x14ac:dyDescent="0.35"/>
  <cols>
    <col min="3" max="3" width="14.54296875" bestFit="1" customWidth="1"/>
    <col min="4" max="4" width="7.6328125" bestFit="1" customWidth="1"/>
    <col min="6" max="6" width="15.7265625" style="24" bestFit="1" customWidth="1"/>
    <col min="7" max="7" width="11.54296875" style="27" bestFit="1" customWidth="1"/>
  </cols>
  <sheetData>
    <row r="10" spans="2:7" ht="15" thickBot="1" x14ac:dyDescent="0.4">
      <c r="B10" s="21" t="s">
        <v>176</v>
      </c>
      <c r="C10" s="20"/>
      <c r="D10" s="20" t="s">
        <v>197</v>
      </c>
      <c r="F10" s="24" t="s">
        <v>3</v>
      </c>
      <c r="G10" s="39">
        <f>VLOOKUP($D$10,Tableau5[[ID Commande]:[Date]],2,FALSE)</f>
        <v>45960.923217592594</v>
      </c>
    </row>
    <row r="15" spans="2:7" x14ac:dyDescent="0.35">
      <c r="B15" s="37" t="s">
        <v>177</v>
      </c>
      <c r="C15" s="19"/>
      <c r="E15" s="37" t="s">
        <v>178</v>
      </c>
      <c r="F15" s="40"/>
    </row>
    <row r="16" spans="2:7" x14ac:dyDescent="0.35">
      <c r="B16" s="38" t="s">
        <v>14</v>
      </c>
      <c r="C16" s="34" t="str">
        <f>Configuration!B16</f>
        <v>UBC</v>
      </c>
      <c r="E16" s="38" t="s">
        <v>14</v>
      </c>
      <c r="F16" s="41" t="str">
        <f>VLOOKUP($D$10,Tableau5[[ID Commande]:[ID Fournisseur]],3,FALSE)</f>
        <v>F035</v>
      </c>
    </row>
    <row r="17" spans="2:7" x14ac:dyDescent="0.35">
      <c r="B17" s="38" t="s">
        <v>190</v>
      </c>
      <c r="C17" s="34" t="str">
        <f>Configuration!B17</f>
        <v>Guinée</v>
      </c>
      <c r="E17" s="38" t="s">
        <v>190</v>
      </c>
      <c r="F17" s="41" t="str">
        <f>_xlfn.TEXTBEFORE(VLOOKUP($F$16, Tableau2[[Nom]:[Pays/Ville]],4,FALSE),"/")</f>
        <v>Guinee</v>
      </c>
    </row>
    <row r="18" spans="2:7" x14ac:dyDescent="0.35">
      <c r="B18" s="38" t="s">
        <v>191</v>
      </c>
      <c r="C18" s="34" t="str">
        <f>Configuration!B18</f>
        <v>Conakry</v>
      </c>
      <c r="E18" s="38" t="s">
        <v>191</v>
      </c>
      <c r="F18" s="41" t="str">
        <f>_xlfn.TEXTAFTER(VLOOKUP($F$16, Tableau2[[Nom]:[Pays/Ville]],4,FALSE),"/")</f>
        <v>Connakry</v>
      </c>
    </row>
    <row r="19" spans="2:7" x14ac:dyDescent="0.35">
      <c r="B19" s="38" t="s">
        <v>0</v>
      </c>
      <c r="C19" s="34">
        <f>Configuration!B19</f>
        <v>624965196</v>
      </c>
      <c r="E19" s="38" t="s">
        <v>0</v>
      </c>
      <c r="F19" s="41">
        <f>VLOOKUP($F$16, Tableau2[[Nom]:[Telephone]],3,FALSE)</f>
        <v>624965196</v>
      </c>
    </row>
    <row r="20" spans="2:7" x14ac:dyDescent="0.35">
      <c r="B20" s="38" t="s">
        <v>16</v>
      </c>
      <c r="C20" s="34" t="str">
        <f>Configuration!B20</f>
        <v>ubc@gmail.com</v>
      </c>
      <c r="E20" s="38" t="s">
        <v>16</v>
      </c>
      <c r="F20" s="41" t="str">
        <f>VLOOKUP($F$16,Tableau2[],5,FALSE)</f>
        <v>ubc@gmail.com</v>
      </c>
    </row>
    <row r="23" spans="2:7" x14ac:dyDescent="0.35">
      <c r="B23" s="23" t="s">
        <v>179</v>
      </c>
      <c r="C23" s="23" t="s">
        <v>180</v>
      </c>
      <c r="D23" s="23" t="s">
        <v>14</v>
      </c>
      <c r="E23" s="23" t="s">
        <v>181</v>
      </c>
      <c r="F23" s="25" t="s">
        <v>182</v>
      </c>
      <c r="G23" s="28" t="s">
        <v>183</v>
      </c>
    </row>
    <row r="24" spans="2:7" x14ac:dyDescent="0.35">
      <c r="B24" s="6">
        <f>IF(C24&lt;&gt;"",ROW(B24)-21, "")</f>
        <v>3</v>
      </c>
      <c r="C24" s="6" t="str" cm="1">
        <f t="array" ref="C24:F25">_xlfn._xlws.FILTER(Tableau5[[ID Produit]:[Prix Unitaire]],Tableau5[ID Commande]=Bon_de_commande!$D$10)</f>
        <v>P001</v>
      </c>
      <c r="D24" s="6" t="str">
        <v>Produit1</v>
      </c>
      <c r="E24" s="6">
        <v>15</v>
      </c>
      <c r="F24" s="26">
        <v>1000</v>
      </c>
      <c r="G24" s="29">
        <f t="array" ref="G24">IF(F24&lt;&gt;"",E24*F24, "")</f>
        <v>15000</v>
      </c>
    </row>
    <row r="25" spans="2:7" x14ac:dyDescent="0.35">
      <c r="B25" s="6">
        <f>IF(C25&lt;&gt;"",ROW(B25)-21, "")</f>
        <v>4</v>
      </c>
      <c r="C25" s="6" t="str">
        <v>P002</v>
      </c>
      <c r="D25" s="6" t="str">
        <v>Produit2</v>
      </c>
      <c r="E25" s="6">
        <v>5</v>
      </c>
      <c r="F25" s="26">
        <v>5000</v>
      </c>
      <c r="G25" s="29">
        <f t="array" ref="G25">IF(F25&lt;&gt;"",E25*F25, "")</f>
        <v>25000</v>
      </c>
    </row>
    <row r="26" spans="2:7" x14ac:dyDescent="0.35">
      <c r="B26" s="6"/>
      <c r="C26" s="6"/>
      <c r="D26" s="6"/>
      <c r="E26" s="6"/>
      <c r="F26" s="17"/>
      <c r="G26" s="29" t="str">
        <f t="array" ref="G26">IF(F26&lt;&gt;"",E26*F26, "")</f>
        <v/>
      </c>
    </row>
    <row r="27" spans="2:7" x14ac:dyDescent="0.35">
      <c r="B27" s="6"/>
      <c r="C27" s="6"/>
      <c r="D27" s="6"/>
      <c r="E27" s="6"/>
      <c r="F27" s="17"/>
      <c r="G27" s="29" t="str">
        <f t="array" ref="G27">IF(F27&lt;&gt;"",E27*F27, "")</f>
        <v/>
      </c>
    </row>
    <row r="28" spans="2:7" x14ac:dyDescent="0.35">
      <c r="B28" s="6"/>
      <c r="C28" s="6"/>
      <c r="D28" s="6"/>
      <c r="E28" s="6"/>
      <c r="F28" s="17"/>
      <c r="G28" s="29" t="str">
        <f t="array" ref="G28">IF(F28&lt;&gt;"",E28*F28, "")</f>
        <v/>
      </c>
    </row>
    <row r="29" spans="2:7" x14ac:dyDescent="0.35">
      <c r="B29" s="6"/>
      <c r="C29" s="6"/>
      <c r="D29" s="6"/>
      <c r="E29" s="6"/>
      <c r="F29" s="17"/>
      <c r="G29" s="29" t="str">
        <f t="array" ref="G29">IF(F29&lt;&gt;"",E29*F29, "")</f>
        <v/>
      </c>
    </row>
    <row r="30" spans="2:7" x14ac:dyDescent="0.35">
      <c r="B30" s="6"/>
      <c r="C30" s="6"/>
      <c r="D30" s="6"/>
      <c r="E30" s="6"/>
      <c r="F30" s="17"/>
      <c r="G30" s="29" t="str">
        <f t="array" ref="G30">IF(F30&lt;&gt;"",E30*F30, "")</f>
        <v/>
      </c>
    </row>
    <row r="31" spans="2:7" x14ac:dyDescent="0.35">
      <c r="B31" s="6"/>
      <c r="C31" s="6"/>
      <c r="D31" s="6"/>
      <c r="E31" s="6"/>
      <c r="F31" s="17"/>
      <c r="G31" s="29" t="str">
        <f t="array" ref="G31">IF(F31&lt;&gt;"",E31*F31, "")</f>
        <v/>
      </c>
    </row>
    <row r="32" spans="2:7" x14ac:dyDescent="0.35">
      <c r="B32" s="6"/>
      <c r="C32" s="6"/>
      <c r="D32" s="6"/>
      <c r="E32" s="6"/>
      <c r="F32" s="17"/>
      <c r="G32" s="29" t="str">
        <f t="array" ref="G32">IF(F32&lt;&gt;"",E32*F32, "")</f>
        <v/>
      </c>
    </row>
    <row r="33" spans="2:7" x14ac:dyDescent="0.35">
      <c r="B33" s="6"/>
      <c r="C33" s="6"/>
      <c r="D33" s="6"/>
      <c r="E33" s="6"/>
      <c r="F33" s="17"/>
      <c r="G33" s="29" t="str">
        <f t="array" ref="G33">IF(F33&lt;&gt;"",E33*F33, "")</f>
        <v/>
      </c>
    </row>
    <row r="34" spans="2:7" x14ac:dyDescent="0.35">
      <c r="B34" s="6"/>
      <c r="C34" s="6"/>
      <c r="D34" s="6"/>
      <c r="E34" s="6"/>
      <c r="F34" s="17"/>
      <c r="G34" s="29" t="str">
        <f t="array" ref="G34">IF(F34&lt;&gt;"",E34*F34, "")</f>
        <v/>
      </c>
    </row>
    <row r="35" spans="2:7" x14ac:dyDescent="0.35">
      <c r="B35" s="6"/>
      <c r="C35" s="6"/>
      <c r="D35" s="6"/>
      <c r="E35" s="6"/>
      <c r="F35" s="17"/>
      <c r="G35" s="29" t="str">
        <f t="array" ref="G35">IF(F35&lt;&gt;"",E35*F35, "")</f>
        <v/>
      </c>
    </row>
    <row r="36" spans="2:7" x14ac:dyDescent="0.35">
      <c r="B36" s="6"/>
      <c r="C36" s="6"/>
      <c r="D36" s="6"/>
      <c r="E36" s="6"/>
      <c r="F36" s="17"/>
      <c r="G36" s="29" t="str">
        <f t="array" ref="G36">IF(F36&lt;&gt;"",E36*F36, "")</f>
        <v/>
      </c>
    </row>
    <row r="37" spans="2:7" x14ac:dyDescent="0.35">
      <c r="B37" s="6"/>
      <c r="C37" s="6"/>
      <c r="D37" s="6"/>
      <c r="E37" s="6"/>
      <c r="F37" s="17"/>
      <c r="G37" s="29" t="str">
        <f t="array" ref="G37">IF(F37&lt;&gt;"",E37*F37, "")</f>
        <v/>
      </c>
    </row>
    <row r="38" spans="2:7" x14ac:dyDescent="0.35">
      <c r="B38" s="6"/>
      <c r="C38" s="6"/>
      <c r="D38" s="6"/>
      <c r="E38" s="6"/>
      <c r="F38" s="17"/>
      <c r="G38" s="29" t="str">
        <f t="array" ref="G38">IF(F38&lt;&gt;"",E38*F38, "")</f>
        <v/>
      </c>
    </row>
    <row r="39" spans="2:7" x14ac:dyDescent="0.35">
      <c r="B39" s="6"/>
      <c r="C39" s="6"/>
      <c r="D39" s="6"/>
      <c r="E39" s="6"/>
      <c r="F39" s="17"/>
      <c r="G39" s="29" t="str">
        <f t="array" ref="G39">IF(F39&lt;&gt;"",E39*F39, "")</f>
        <v/>
      </c>
    </row>
    <row r="40" spans="2:7" x14ac:dyDescent="0.35">
      <c r="B40" s="6"/>
      <c r="C40" s="6"/>
      <c r="D40" s="6"/>
      <c r="E40" s="6"/>
      <c r="F40" s="17"/>
      <c r="G40" s="29" t="str">
        <f t="array" ref="G40">IF(F40&lt;&gt;"",E40*F40, "")</f>
        <v/>
      </c>
    </row>
    <row r="41" spans="2:7" x14ac:dyDescent="0.35">
      <c r="B41" s="6"/>
      <c r="C41" s="6"/>
      <c r="D41" s="6"/>
      <c r="E41" s="6"/>
      <c r="F41" s="17"/>
      <c r="G41" s="29" t="str">
        <f t="array" ref="G41">IF(F41&lt;&gt;"",E41*F41, "")</f>
        <v/>
      </c>
    </row>
    <row r="42" spans="2:7" x14ac:dyDescent="0.35">
      <c r="B42" s="6"/>
      <c r="C42" s="6"/>
      <c r="D42" s="6"/>
      <c r="E42" s="6"/>
      <c r="F42" s="17"/>
      <c r="G42" s="29" t="str">
        <f t="array" ref="G42">IF(F42&lt;&gt;"",E42*F42, "")</f>
        <v/>
      </c>
    </row>
    <row r="43" spans="2:7" x14ac:dyDescent="0.35">
      <c r="B43" s="6"/>
      <c r="C43" s="6"/>
      <c r="D43" s="6"/>
      <c r="E43" s="6"/>
      <c r="F43" s="17"/>
      <c r="G43" s="29" t="str">
        <f t="array" ref="G43">IF(F43&lt;&gt;"",E43*F43, "")</f>
        <v/>
      </c>
    </row>
    <row r="44" spans="2:7" x14ac:dyDescent="0.35">
      <c r="B44" s="6"/>
      <c r="C44" s="6"/>
      <c r="D44" s="6"/>
      <c r="E44" s="6"/>
      <c r="F44" s="17"/>
      <c r="G44" s="29" t="str">
        <f t="array" ref="G44">IF(F44&lt;&gt;"",E44*F44, "")</f>
        <v/>
      </c>
    </row>
    <row r="45" spans="2:7" x14ac:dyDescent="0.35">
      <c r="B45" s="6"/>
      <c r="C45" s="6"/>
      <c r="D45" s="6"/>
      <c r="E45" s="6"/>
      <c r="F45" s="17"/>
      <c r="G45" s="29"/>
    </row>
    <row r="46" spans="2:7" ht="15" thickBot="1" x14ac:dyDescent="0.4"/>
    <row r="47" spans="2:7" x14ac:dyDescent="0.35">
      <c r="B47" s="22"/>
      <c r="C47" s="22"/>
      <c r="D47" s="22"/>
      <c r="E47" s="22"/>
      <c r="F47" s="30" t="s">
        <v>184</v>
      </c>
      <c r="G47" s="31">
        <f>SUM(G24:G43)</f>
        <v>40000</v>
      </c>
    </row>
    <row r="48" spans="2:7" x14ac:dyDescent="0.35">
      <c r="F48" s="30" t="s">
        <v>189</v>
      </c>
      <c r="G48" s="31">
        <f>0.2*106</f>
        <v>21.200000000000003</v>
      </c>
    </row>
    <row r="49" spans="6:7" x14ac:dyDescent="0.35">
      <c r="F49" s="30" t="s">
        <v>185</v>
      </c>
      <c r="G49" s="31">
        <f>G47+G48</f>
        <v>40021.199999999997</v>
      </c>
    </row>
  </sheetData>
  <conditionalFormatting sqref="B24:G44">
    <cfRule type="expression" dxfId="0" priority="1">
      <formula>$B24&lt;&gt;""</formula>
    </cfRule>
  </conditionalFormatting>
  <pageMargins left="0.7" right="0.7" top="0.75" bottom="0.75" header="0.3" footer="0.3"/>
  <pageSetup scale="9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7B2AB1-FB03-48BE-A038-BDFEDEA1B00F}">
          <x14:formula1>
            <xm:f>F_Commandes!$D$6:$D$26</xm:f>
          </x14:formula1>
          <xm:sqref>D10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71380-C00F-404A-8F7F-BBF90267B4B7}">
  <sheetPr codeName="Feuil9"/>
  <dimension ref="C6:J8"/>
  <sheetViews>
    <sheetView tabSelected="1" topLeftCell="A3" workbookViewId="0">
      <selection activeCell="G15" sqref="G15"/>
    </sheetView>
  </sheetViews>
  <sheetFormatPr baseColWidth="10" defaultRowHeight="14.5" x14ac:dyDescent="0.35"/>
  <cols>
    <col min="3" max="3" width="12.7265625" bestFit="1" customWidth="1"/>
    <col min="4" max="4" width="15.1796875" customWidth="1"/>
    <col min="5" max="5" width="14.90625" customWidth="1"/>
    <col min="6" max="6" width="11.08984375" customWidth="1"/>
    <col min="7" max="7" width="13.1796875" customWidth="1"/>
    <col min="8" max="8" width="19.26953125" bestFit="1" customWidth="1"/>
    <col min="9" max="9" width="14.36328125" style="27" customWidth="1"/>
    <col min="10" max="10" width="13.453125" style="27" bestFit="1" customWidth="1"/>
  </cols>
  <sheetData>
    <row r="6" spans="3:10" ht="15" thickBot="1" x14ac:dyDescent="0.4">
      <c r="C6" s="43" t="s">
        <v>198</v>
      </c>
      <c r="D6" s="43" t="s">
        <v>199</v>
      </c>
      <c r="E6" s="43" t="s">
        <v>109</v>
      </c>
      <c r="F6" s="43" t="s">
        <v>37</v>
      </c>
      <c r="G6" s="43" t="s">
        <v>38</v>
      </c>
      <c r="H6" s="43" t="s">
        <v>111</v>
      </c>
      <c r="I6" s="44" t="s">
        <v>175</v>
      </c>
      <c r="J6" s="44" t="s">
        <v>200</v>
      </c>
    </row>
    <row r="7" spans="3:10" x14ac:dyDescent="0.35">
      <c r="C7" s="8" t="s">
        <v>201</v>
      </c>
      <c r="D7" s="9" t="s">
        <v>202</v>
      </c>
      <c r="E7" s="8" t="s">
        <v>115</v>
      </c>
      <c r="F7" s="8" t="s">
        <v>9</v>
      </c>
      <c r="G7" s="8" t="str">
        <f>VLOOKUP(F7,Tableau3[[ID Produit]:[Nom Produit]],2,FALSE)</f>
        <v>Produit1</v>
      </c>
      <c r="H7" s="8">
        <v>5</v>
      </c>
      <c r="I7" s="45">
        <f>IF(AND(Tableau7[[#This Row],[No Commande]]=F_Commandes!D6,Tableau7[[#This Row],[ID Produit]]=F_Commandes!G6),F_Commandes!I6,0)</f>
        <v>10</v>
      </c>
      <c r="J7" s="45">
        <f>H7*I7</f>
        <v>50</v>
      </c>
    </row>
    <row r="8" spans="3:10" x14ac:dyDescent="0.35">
      <c r="C8" s="8" t="s">
        <v>201</v>
      </c>
      <c r="D8" s="9" t="s">
        <v>202</v>
      </c>
      <c r="E8" s="8" t="s">
        <v>115</v>
      </c>
      <c r="F8" s="8" t="s">
        <v>10</v>
      </c>
      <c r="G8" s="8" t="str">
        <f>VLOOKUP(F8,Tableau3[[ID Produit]:[Nom Produit]],2,FALSE)</f>
        <v>Produit2</v>
      </c>
      <c r="H8" s="8">
        <v>5</v>
      </c>
      <c r="I8" s="45">
        <f>IF(AND(Tableau7[[#This Row],[No Commande]]=F_Commandes!D7,Tableau7[[#This Row],[ID Produit]]=F_Commandes!G7),F_Commandes!I7,0)</f>
        <v>50</v>
      </c>
      <c r="J8" s="45">
        <f>H8*I8</f>
        <v>250</v>
      </c>
    </row>
  </sheetData>
  <dataValidations count="3">
    <dataValidation type="list" allowBlank="1" showInputMessage="1" showErrorMessage="1" sqref="F7:F8" xr:uid="{24D10AA9-B924-400D-8DA1-E1885E62B215}">
      <formula1>Produits</formula1>
    </dataValidation>
    <dataValidation type="list" allowBlank="1" showInputMessage="1" showErrorMessage="1" sqref="E7:E8" xr:uid="{61CC2428-DFDC-4F48-951F-2A44C6D3391F}">
      <formula1>Fournisseurs</formula1>
    </dataValidation>
    <dataValidation type="list" allowBlank="1" showInputMessage="1" showErrorMessage="1" sqref="D7:D8" xr:uid="{B7141532-64C1-45C6-A351-F83829C58C35}">
      <formula1>Dates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CA31-31C0-4DC8-A311-F1E6E82412CC}">
  <sheetPr codeName="Feuil6"/>
  <dimension ref="C5:K20"/>
  <sheetViews>
    <sheetView workbookViewId="0">
      <selection activeCell="A5" sqref="A5:XFD5"/>
    </sheetView>
  </sheetViews>
  <sheetFormatPr baseColWidth="10" defaultRowHeight="14.5" x14ac:dyDescent="0.35"/>
  <cols>
    <col min="3" max="11" width="14" customWidth="1"/>
    <col min="12" max="12" width="10.90625" customWidth="1"/>
  </cols>
  <sheetData>
    <row r="5" spans="3:11" s="1" customFormat="1" ht="22" customHeight="1" x14ac:dyDescent="0.35">
      <c r="C5" s="2" t="s">
        <v>141</v>
      </c>
      <c r="D5" s="2" t="s">
        <v>3</v>
      </c>
      <c r="E5" s="2" t="s">
        <v>142</v>
      </c>
      <c r="F5" s="2" t="s">
        <v>37</v>
      </c>
      <c r="G5" s="2" t="s">
        <v>38</v>
      </c>
      <c r="H5" s="2" t="s">
        <v>143</v>
      </c>
      <c r="I5" s="2" t="s">
        <v>41</v>
      </c>
      <c r="J5" s="2" t="s">
        <v>12</v>
      </c>
      <c r="K5" s="2" t="s">
        <v>112</v>
      </c>
    </row>
    <row r="6" spans="3:11" x14ac:dyDescent="0.35">
      <c r="C6" s="8" t="str">
        <f>"V"&amp;TEXT(ROW(B6)-5,"000")</f>
        <v>V001</v>
      </c>
      <c r="D6" s="9">
        <v>45658</v>
      </c>
      <c r="E6" s="8" t="s">
        <v>115</v>
      </c>
      <c r="F6" s="8" t="s">
        <v>9</v>
      </c>
      <c r="G6" s="8" t="str">
        <f>VLOOKUP(Tableau6[[#This Row],[ID Produit]],Tableau3[[#All],[ID Produit]:[Nom Produit]],2,FALSE)</f>
        <v>Produit1</v>
      </c>
      <c r="H6" s="8">
        <v>10</v>
      </c>
      <c r="I6" s="8">
        <v>10</v>
      </c>
      <c r="J6" s="8">
        <v>5000</v>
      </c>
      <c r="K6" s="8">
        <f>Tableau5[[#This Row],[Quantite Commandee]]*Tableau5[[#This Row],[Quantite Livree]]</f>
        <v>0</v>
      </c>
    </row>
    <row r="7" spans="3:11" x14ac:dyDescent="0.35">
      <c r="C7" s="8" t="str">
        <f t="shared" ref="C7:C20" si="0">"V"&amp;TEXT(ROW(B7)-5,"000")</f>
        <v>V002</v>
      </c>
      <c r="D7" s="9">
        <v>45659</v>
      </c>
      <c r="E7" s="8" t="s">
        <v>116</v>
      </c>
      <c r="F7" s="8" t="s">
        <v>10</v>
      </c>
      <c r="G7" s="8" t="str">
        <f>VLOOKUP(Tableau6[[#This Row],[ID Produit]],Tableau3[[#All],[ID Produit]:[Nom Produit]],2,FALSE)</f>
        <v>Produit2</v>
      </c>
      <c r="H7" s="8">
        <v>10</v>
      </c>
      <c r="I7" s="8">
        <v>10</v>
      </c>
      <c r="J7" s="8">
        <v>5000</v>
      </c>
      <c r="K7" s="8">
        <f>Tableau5[[#This Row],[Quantite Commandee]]*Tableau5[[#This Row],[Quantite Livree]]</f>
        <v>0</v>
      </c>
    </row>
    <row r="8" spans="3:11" x14ac:dyDescent="0.35">
      <c r="C8" s="8" t="str">
        <f t="shared" si="0"/>
        <v>V003</v>
      </c>
      <c r="D8" s="9">
        <v>45660</v>
      </c>
      <c r="E8" s="8" t="s">
        <v>117</v>
      </c>
      <c r="F8" s="8" t="s">
        <v>118</v>
      </c>
      <c r="G8" s="8" t="str">
        <f>VLOOKUP(Tableau6[[#This Row],[ID Produit]],Tableau3[[#All],[ID Produit]:[Nom Produit]],2,FALSE)</f>
        <v>Produit3</v>
      </c>
      <c r="H8" s="8">
        <v>10</v>
      </c>
      <c r="I8" s="8">
        <v>10</v>
      </c>
      <c r="J8" s="8">
        <v>5000</v>
      </c>
      <c r="K8" s="8">
        <f>Tableau5[[#This Row],[Quantite Commandee]]*Tableau5[[#This Row],[Quantite Livree]]</f>
        <v>0</v>
      </c>
    </row>
    <row r="9" spans="3:11" x14ac:dyDescent="0.35">
      <c r="C9" s="8" t="str">
        <f t="shared" si="0"/>
        <v>V004</v>
      </c>
      <c r="D9" s="9">
        <v>45661</v>
      </c>
      <c r="E9" s="8" t="s">
        <v>119</v>
      </c>
      <c r="F9" s="8" t="s">
        <v>11</v>
      </c>
      <c r="G9" s="8" t="str">
        <f>VLOOKUP(Tableau6[[#This Row],[ID Produit]],Tableau3[[#All],[ID Produit]:[Nom Produit]],2,FALSE)</f>
        <v>Produit4</v>
      </c>
      <c r="H9" s="8">
        <v>10</v>
      </c>
      <c r="I9" s="8">
        <v>10</v>
      </c>
      <c r="J9" s="8">
        <v>5000</v>
      </c>
      <c r="K9" s="8">
        <f>Tableau5[[#This Row],[Quantite Commandee]]*Tableau5[[#This Row],[Quantite Livree]]</f>
        <v>0</v>
      </c>
    </row>
    <row r="10" spans="3:11" x14ac:dyDescent="0.35">
      <c r="C10" s="8" t="str">
        <f t="shared" si="0"/>
        <v>V005</v>
      </c>
      <c r="D10" s="9">
        <v>45662</v>
      </c>
      <c r="E10" s="8" t="s">
        <v>120</v>
      </c>
      <c r="F10" s="8" t="s">
        <v>121</v>
      </c>
      <c r="G10" s="8" t="str">
        <f>VLOOKUP(Tableau6[[#This Row],[ID Produit]],Tableau3[[#All],[ID Produit]:[Nom Produit]],2,FALSE)</f>
        <v>Produit5</v>
      </c>
      <c r="H10" s="8">
        <v>10</v>
      </c>
      <c r="I10" s="8">
        <v>10</v>
      </c>
      <c r="J10" s="8">
        <v>5000</v>
      </c>
      <c r="K10" s="8">
        <f>Tableau5[[#This Row],[Quantite Commandee]]*Tableau5[[#This Row],[Quantite Livree]]</f>
        <v>0</v>
      </c>
    </row>
    <row r="11" spans="3:11" x14ac:dyDescent="0.35">
      <c r="C11" s="8" t="str">
        <f t="shared" si="0"/>
        <v>V006</v>
      </c>
      <c r="D11" s="9">
        <v>45663</v>
      </c>
      <c r="E11" s="8" t="s">
        <v>122</v>
      </c>
      <c r="F11" s="8" t="s">
        <v>123</v>
      </c>
      <c r="G11" s="8" t="str">
        <f>VLOOKUP(Tableau6[[#This Row],[ID Produit]],Tableau3[[#All],[ID Produit]:[Nom Produit]],2,FALSE)</f>
        <v>Produit6</v>
      </c>
      <c r="H11" s="8">
        <v>10</v>
      </c>
      <c r="I11" s="8">
        <v>10</v>
      </c>
      <c r="J11" s="8">
        <v>5000</v>
      </c>
      <c r="K11" s="8">
        <f>Tableau5[[#This Row],[Quantite Commandee]]*Tableau5[[#This Row],[Quantite Livree]]</f>
        <v>0</v>
      </c>
    </row>
    <row r="12" spans="3:11" x14ac:dyDescent="0.35">
      <c r="C12" s="8" t="str">
        <f t="shared" si="0"/>
        <v>V007</v>
      </c>
      <c r="D12" s="9">
        <v>45664</v>
      </c>
      <c r="E12" s="8" t="s">
        <v>124</v>
      </c>
      <c r="F12" s="8" t="s">
        <v>125</v>
      </c>
      <c r="G12" s="8" t="str">
        <f>VLOOKUP(Tableau6[[#This Row],[ID Produit]],Tableau3[[#All],[ID Produit]:[Nom Produit]],2,FALSE)</f>
        <v>Produit7</v>
      </c>
      <c r="H12" s="8">
        <v>10</v>
      </c>
      <c r="I12" s="8">
        <v>10</v>
      </c>
      <c r="J12" s="8">
        <v>5000</v>
      </c>
      <c r="K12" s="8">
        <f>Tableau5[[#This Row],[Quantite Commandee]]*Tableau5[[#This Row],[Quantite Livree]]</f>
        <v>0</v>
      </c>
    </row>
    <row r="13" spans="3:11" x14ac:dyDescent="0.35">
      <c r="C13" s="8" t="str">
        <f t="shared" si="0"/>
        <v>V008</v>
      </c>
      <c r="D13" s="9">
        <v>45665</v>
      </c>
      <c r="E13" s="8" t="s">
        <v>114</v>
      </c>
      <c r="F13" s="8" t="s">
        <v>126</v>
      </c>
      <c r="G13" s="8" t="str">
        <f>VLOOKUP(Tableau6[[#This Row],[ID Produit]],Tableau3[[#All],[ID Produit]:[Nom Produit]],2,FALSE)</f>
        <v>Produit8</v>
      </c>
      <c r="H13" s="8">
        <v>10</v>
      </c>
      <c r="I13" s="8">
        <v>10</v>
      </c>
      <c r="J13" s="8">
        <v>5000</v>
      </c>
      <c r="K13" s="8">
        <f>Tableau5[[#This Row],[Quantite Commandee]]*Tableau5[[#This Row],[Quantite Livree]]</f>
        <v>0</v>
      </c>
    </row>
    <row r="14" spans="3:11" x14ac:dyDescent="0.35">
      <c r="C14" s="8" t="str">
        <f t="shared" si="0"/>
        <v>V009</v>
      </c>
      <c r="D14" s="9">
        <v>45666</v>
      </c>
      <c r="E14" s="8" t="s">
        <v>127</v>
      </c>
      <c r="F14" s="8" t="s">
        <v>128</v>
      </c>
      <c r="G14" s="8" t="str">
        <f>VLOOKUP(Tableau6[[#This Row],[ID Produit]],Tableau3[[#All],[ID Produit]:[Nom Produit]],2,FALSE)</f>
        <v>Produit9</v>
      </c>
      <c r="H14" s="8">
        <v>10</v>
      </c>
      <c r="I14" s="8">
        <v>10</v>
      </c>
      <c r="J14" s="8">
        <v>5000</v>
      </c>
      <c r="K14" s="8">
        <f>Tableau5[[#This Row],[Quantite Commandee]]*Tableau5[[#This Row],[Quantite Livree]]</f>
        <v>0</v>
      </c>
    </row>
    <row r="15" spans="3:11" x14ac:dyDescent="0.35">
      <c r="C15" s="8" t="str">
        <f t="shared" si="0"/>
        <v>V010</v>
      </c>
      <c r="D15" s="9">
        <v>45667</v>
      </c>
      <c r="E15" s="8" t="s">
        <v>129</v>
      </c>
      <c r="F15" s="8" t="s">
        <v>130</v>
      </c>
      <c r="G15" s="8" t="str">
        <f>VLOOKUP(Tableau6[[#This Row],[ID Produit]],Tableau3[[#All],[ID Produit]:[Nom Produit]],2,FALSE)</f>
        <v>Produit10</v>
      </c>
      <c r="H15" s="8">
        <v>10</v>
      </c>
      <c r="I15" s="8">
        <v>10</v>
      </c>
      <c r="J15" s="8">
        <v>5000</v>
      </c>
      <c r="K15" s="8">
        <f>Tableau5[[#This Row],[Quantite Commandee]]*Tableau5[[#This Row],[Quantite Livree]]</f>
        <v>0</v>
      </c>
    </row>
    <row r="16" spans="3:11" x14ac:dyDescent="0.35">
      <c r="C16" s="8" t="str">
        <f t="shared" si="0"/>
        <v>V011</v>
      </c>
      <c r="D16" s="9">
        <v>45668</v>
      </c>
      <c r="E16" s="8" t="s">
        <v>131</v>
      </c>
      <c r="F16" s="8" t="s">
        <v>132</v>
      </c>
      <c r="G16" s="8" t="str">
        <f>VLOOKUP(Tableau6[[#This Row],[ID Produit]],Tableau3[[#All],[ID Produit]:[Nom Produit]],2,FALSE)</f>
        <v>Produit11</v>
      </c>
      <c r="H16" s="8">
        <v>10</v>
      </c>
      <c r="I16" s="8">
        <v>10</v>
      </c>
      <c r="J16" s="8">
        <v>5000</v>
      </c>
      <c r="K16" s="8">
        <f>Tableau5[[#This Row],[Quantite Commandee]]*Tableau5[[#This Row],[Quantite Livree]]</f>
        <v>0</v>
      </c>
    </row>
    <row r="17" spans="3:11" x14ac:dyDescent="0.35">
      <c r="C17" s="8" t="str">
        <f t="shared" si="0"/>
        <v>V012</v>
      </c>
      <c r="D17" s="9">
        <v>45669</v>
      </c>
      <c r="E17" s="8" t="s">
        <v>133</v>
      </c>
      <c r="F17" s="8" t="s">
        <v>134</v>
      </c>
      <c r="G17" s="8" t="str">
        <f>VLOOKUP(Tableau6[[#This Row],[ID Produit]],Tableau3[[#All],[ID Produit]:[Nom Produit]],2,FALSE)</f>
        <v>Produit12</v>
      </c>
      <c r="H17" s="8">
        <v>10</v>
      </c>
      <c r="I17" s="8">
        <v>10</v>
      </c>
      <c r="J17" s="8">
        <v>5000</v>
      </c>
      <c r="K17" s="8">
        <f>Tableau5[[#This Row],[Quantite Commandee]]*Tableau5[[#This Row],[Quantite Livree]]</f>
        <v>0</v>
      </c>
    </row>
    <row r="18" spans="3:11" x14ac:dyDescent="0.35">
      <c r="C18" s="8" t="str">
        <f t="shared" si="0"/>
        <v>V013</v>
      </c>
      <c r="D18" s="9">
        <v>45670</v>
      </c>
      <c r="E18" s="8" t="s">
        <v>135</v>
      </c>
      <c r="F18" s="8" t="s">
        <v>136</v>
      </c>
      <c r="G18" s="8" t="str">
        <f>VLOOKUP(Tableau6[[#This Row],[ID Produit]],Tableau3[[#All],[ID Produit]:[Nom Produit]],2,FALSE)</f>
        <v>Produit13</v>
      </c>
      <c r="H18" s="8">
        <v>10</v>
      </c>
      <c r="I18" s="8">
        <v>10</v>
      </c>
      <c r="J18" s="8">
        <v>5000</v>
      </c>
      <c r="K18" s="8">
        <f>Tableau5[[#This Row],[Quantite Commandee]]*Tableau5[[#This Row],[Quantite Livree]]</f>
        <v>0</v>
      </c>
    </row>
    <row r="19" spans="3:11" x14ac:dyDescent="0.35">
      <c r="C19" s="8" t="str">
        <f t="shared" si="0"/>
        <v>V014</v>
      </c>
      <c r="D19" s="9">
        <v>45671</v>
      </c>
      <c r="E19" s="8" t="s">
        <v>137</v>
      </c>
      <c r="F19" s="8" t="s">
        <v>138</v>
      </c>
      <c r="G19" s="8" t="str">
        <f>VLOOKUP(Tableau6[[#This Row],[ID Produit]],Tableau3[[#All],[ID Produit]:[Nom Produit]],2,FALSE)</f>
        <v>Produit14</v>
      </c>
      <c r="H19" s="8">
        <v>10</v>
      </c>
      <c r="I19" s="8">
        <v>10</v>
      </c>
      <c r="J19" s="8">
        <v>5000</v>
      </c>
      <c r="K19" s="8">
        <f>Tableau5[[#This Row],[Quantite Commandee]]*Tableau5[[#This Row],[Quantite Livree]]</f>
        <v>0</v>
      </c>
    </row>
    <row r="20" spans="3:11" x14ac:dyDescent="0.35">
      <c r="C20" s="8" t="str">
        <f t="shared" si="0"/>
        <v>V015</v>
      </c>
      <c r="D20" s="9">
        <v>45672</v>
      </c>
      <c r="E20" s="8" t="s">
        <v>139</v>
      </c>
      <c r="F20" s="8" t="s">
        <v>140</v>
      </c>
      <c r="G20" s="8" t="str">
        <f>VLOOKUP(Tableau6[[#This Row],[ID Produit]],Tableau3[[#All],[ID Produit]:[Nom Produit]],2,FALSE)</f>
        <v>Produit15</v>
      </c>
      <c r="H20" s="8">
        <v>10</v>
      </c>
      <c r="I20" s="8">
        <v>10</v>
      </c>
      <c r="J20" s="8">
        <v>5000</v>
      </c>
      <c r="K20" s="8">
        <f>Tableau5[[#This Row],[Quantite Commandee]]*Tableau5[[#This Row],[Quantite Livree]]</f>
        <v>0</v>
      </c>
    </row>
  </sheetData>
  <phoneticPr fontId="6" type="noConversion"/>
  <dataValidations count="3">
    <dataValidation type="list" allowBlank="1" showInputMessage="1" showErrorMessage="1" sqref="F6:G20" xr:uid="{C7EAAC85-E110-4CCC-9125-229AB7D2D6FD}">
      <formula1>Produits</formula1>
    </dataValidation>
    <dataValidation type="list" allowBlank="1" showInputMessage="1" showErrorMessage="1" sqref="D6:D20" xr:uid="{EF63107A-DC7F-4956-9CDA-8CED4A822E63}">
      <formula1>Dates</formula1>
    </dataValidation>
    <dataValidation type="list" allowBlank="1" showInputMessage="1" showErrorMessage="1" sqref="E6:E20" xr:uid="{A663B891-B791-43FD-90C1-4EBCA9561D58}">
      <formula1>Fournisseurs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BD2-BDCE-4DCF-85E0-5D1D721EB796}">
  <sheetPr codeName="Feuil7"/>
  <dimension ref="A5:D20"/>
  <sheetViews>
    <sheetView zoomScale="85" zoomScaleNormal="85" workbookViewId="0">
      <selection activeCell="B10" sqref="B10"/>
    </sheetView>
  </sheetViews>
  <sheetFormatPr baseColWidth="10" defaultRowHeight="14.5" x14ac:dyDescent="0.35"/>
  <cols>
    <col min="1" max="1" width="15.7265625" bestFit="1" customWidth="1"/>
    <col min="2" max="2" width="13.90625" bestFit="1" customWidth="1"/>
  </cols>
  <sheetData>
    <row r="5" spans="1:4" ht="15" thickBot="1" x14ac:dyDescent="0.4">
      <c r="A5" s="10" t="s">
        <v>144</v>
      </c>
      <c r="B5" s="11"/>
      <c r="C5" s="11"/>
      <c r="D5" s="11"/>
    </row>
    <row r="6" spans="1:4" x14ac:dyDescent="0.35">
      <c r="A6" s="12" t="s">
        <v>145</v>
      </c>
      <c r="B6" s="13" t="s">
        <v>146</v>
      </c>
      <c r="C6" s="13">
        <v>22</v>
      </c>
      <c r="D6" s="14" t="str">
        <f>B6&amp;TEXT(C6, "0000")</f>
        <v>P0022</v>
      </c>
    </row>
    <row r="7" spans="1:4" x14ac:dyDescent="0.35">
      <c r="A7" s="12" t="s">
        <v>147</v>
      </c>
      <c r="B7" s="13" t="s">
        <v>148</v>
      </c>
      <c r="C7" s="13">
        <v>17</v>
      </c>
      <c r="D7" s="14" t="str">
        <f>B7&amp;TEXT(C7, "0000")</f>
        <v>CL0017</v>
      </c>
    </row>
    <row r="8" spans="1:4" x14ac:dyDescent="0.35">
      <c r="A8" s="12" t="s">
        <v>149</v>
      </c>
      <c r="B8" s="13" t="s">
        <v>150</v>
      </c>
      <c r="C8" s="13">
        <v>21</v>
      </c>
      <c r="D8" s="14" t="str">
        <f>B8&amp;TEXT(C8, "0000")</f>
        <v>F0021</v>
      </c>
    </row>
    <row r="9" spans="1:4" x14ac:dyDescent="0.35">
      <c r="A9" s="12" t="s">
        <v>151</v>
      </c>
      <c r="B9" s="13" t="s">
        <v>152</v>
      </c>
      <c r="C9" s="13">
        <v>19</v>
      </c>
      <c r="D9" s="14" t="str">
        <f>B9&amp;TEXT(C9, "0000")</f>
        <v>V0019</v>
      </c>
    </row>
    <row r="10" spans="1:4" x14ac:dyDescent="0.35">
      <c r="A10" s="12" t="s">
        <v>153</v>
      </c>
      <c r="B10" s="13" t="s">
        <v>154</v>
      </c>
      <c r="C10" s="13">
        <v>22</v>
      </c>
      <c r="D10" s="14" t="str">
        <f>B10&amp;TEXT(C10, "0000")</f>
        <v>CO0022</v>
      </c>
    </row>
    <row r="15" spans="1:4" ht="15" thickBot="1" x14ac:dyDescent="0.4">
      <c r="A15" s="32" t="s">
        <v>192</v>
      </c>
      <c r="B15" s="35"/>
      <c r="C15" s="35"/>
    </row>
    <row r="16" spans="1:4" x14ac:dyDescent="0.35">
      <c r="A16" s="33" t="s">
        <v>14</v>
      </c>
      <c r="B16" s="35" t="s">
        <v>193</v>
      </c>
      <c r="C16" s="35"/>
    </row>
    <row r="17" spans="1:3" x14ac:dyDescent="0.35">
      <c r="A17" s="33" t="s">
        <v>190</v>
      </c>
      <c r="B17" s="35" t="s">
        <v>194</v>
      </c>
      <c r="C17" s="35"/>
    </row>
    <row r="18" spans="1:3" x14ac:dyDescent="0.35">
      <c r="A18" s="33" t="s">
        <v>191</v>
      </c>
      <c r="B18" s="35" t="s">
        <v>195</v>
      </c>
      <c r="C18" s="35"/>
    </row>
    <row r="19" spans="1:3" x14ac:dyDescent="0.35">
      <c r="A19" s="33" t="s">
        <v>0</v>
      </c>
      <c r="B19" s="35">
        <v>624965196</v>
      </c>
      <c r="C19" s="35"/>
    </row>
    <row r="20" spans="1:3" x14ac:dyDescent="0.35">
      <c r="A20" s="33" t="s">
        <v>16</v>
      </c>
      <c r="B20" s="36" t="s">
        <v>19</v>
      </c>
      <c r="C20" s="35"/>
    </row>
  </sheetData>
  <hyperlinks>
    <hyperlink ref="B20" r:id="rId1" xr:uid="{99552767-569F-468A-B76C-CD85B9599F5B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D_Clients</vt:lpstr>
      <vt:lpstr>D_Fournisseurs</vt:lpstr>
      <vt:lpstr>D_Produits</vt:lpstr>
      <vt:lpstr>D_Temps</vt:lpstr>
      <vt:lpstr>F_Commandes</vt:lpstr>
      <vt:lpstr>Bon_de_commande</vt:lpstr>
      <vt:lpstr>Bon_Livraisons</vt:lpstr>
      <vt:lpstr>F_Ventes</vt:lpstr>
      <vt:lpstr>Configuration</vt:lpstr>
      <vt:lpstr>Commandes</vt:lpstr>
      <vt:lpstr>Dates</vt:lpstr>
      <vt:lpstr>Fournisseurs</vt:lpstr>
      <vt:lpstr>Noms_produits</vt:lpstr>
      <vt:lpstr>Produits</vt:lpstr>
      <vt:lpstr>Tab_Clients</vt:lpstr>
      <vt:lpstr>Tab_Commande</vt:lpstr>
      <vt:lpstr>Tab_Commandes</vt:lpstr>
      <vt:lpstr>Tab_Dates</vt:lpstr>
      <vt:lpstr>Tab_Fournisseur</vt:lpstr>
      <vt:lpstr>Tab_Produits</vt:lpstr>
      <vt:lpstr>Tab_Ventes</vt:lpstr>
      <vt:lpstr>Bon_de_commande!Zone_d_impression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Almamy Camara</dc:creator>
  <cp:lastModifiedBy>Almamy Camara</cp:lastModifiedBy>
  <cp:lastPrinted>2025-10-30T22:11:05Z</cp:lastPrinted>
  <dcterms:created xsi:type="dcterms:W3CDTF">2025-10-28T13:02:13Z</dcterms:created>
  <dcterms:modified xsi:type="dcterms:W3CDTF">2025-10-31T15:11:41Z</dcterms:modified>
</cp:coreProperties>
</file>